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liverokz-my.sharepoint.com/personal/yu-sakioka_oliverinc_co_jp/Documents/Microsoft Teams チャット ファイル/"/>
    </mc:Choice>
  </mc:AlternateContent>
  <xr:revisionPtr revIDLastSave="51" documentId="11_6BC7317A110A86EAD873EC8C1EF2651A17706C0B" xr6:coauthVersionLast="47" xr6:coauthVersionMax="47" xr10:uidLastSave="{86BBA513-B963-48EE-8F87-AC2D521F7558}"/>
  <bookViews>
    <workbookView xWindow="-120" yWindow="-120" windowWidth="29040" windowHeight="17520" xr2:uid="{00000000-000D-0000-FFFF-FFFF00000000}"/>
  </bookViews>
  <sheets>
    <sheet name="リスト" sheetId="1" r:id="rId1"/>
    <sheet name="明細" sheetId="2" r:id="rId2"/>
  </sheets>
  <definedNames>
    <definedName name="_xlnm._FilterDatabase" localSheetId="1" hidden="1">明細!$A$8:$DF$8</definedName>
    <definedName name="_xlnm.Print_Area" localSheetId="0">リスト!$A$1:$BY$21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7" i="1" l="1"/>
  <c r="AV21" i="1" l="1"/>
  <c r="CF16" i="1"/>
  <c r="BA16" i="1" s="1"/>
  <c r="BB13" i="1"/>
  <c r="BH13" i="1" s="1"/>
  <c r="BB12" i="1"/>
  <c r="BH12" i="1" s="1"/>
  <c r="BB11" i="1"/>
  <c r="BH11" i="1" s="1"/>
  <c r="BB10" i="1"/>
  <c r="BH10" i="1" s="1"/>
  <c r="BB9" i="1"/>
  <c r="BH9" i="1" s="1"/>
  <c r="BB8" i="1"/>
  <c r="BH8" i="1" s="1"/>
  <c r="BB7" i="1"/>
  <c r="BH7" i="1" s="1"/>
  <c r="BB6" i="1"/>
  <c r="BH6" i="2"/>
  <c r="BS6" i="2"/>
  <c r="BP6" i="2"/>
  <c r="BO6" i="2"/>
  <c r="BT6" i="2"/>
  <c r="BE6" i="2"/>
  <c r="BA6" i="2"/>
  <c r="BA15" i="1" l="1"/>
  <c r="BC6" i="2"/>
  <c r="BB6" i="2"/>
  <c r="BH6" i="1"/>
  <c r="BA18" i="1" l="1"/>
  <c r="BA19" i="1"/>
  <c r="BA20" i="1" l="1"/>
</calcChain>
</file>

<file path=xl/sharedStrings.xml><?xml version="1.0" encoding="utf-8"?>
<sst xmlns="http://schemas.openxmlformats.org/spreadsheetml/2006/main" count="224" uniqueCount="199">
  <si>
    <t>Price List</t>
  </si>
  <si>
    <t>製品価格一覧</t>
  </si>
  <si>
    <t xml:space="preserve"> </t>
  </si>
  <si>
    <t>No.</t>
  </si>
  <si>
    <t>品名</t>
  </si>
  <si>
    <t>製品品番</t>
  </si>
  <si>
    <t>張地ﾗﾝｸ</t>
  </si>
  <si>
    <t>仕様</t>
  </si>
  <si>
    <t>数量</t>
  </si>
  <si>
    <t>標準価格</t>
  </si>
  <si>
    <t>金額</t>
  </si>
  <si>
    <t>税率</t>
  </si>
  <si>
    <t>消費税</t>
  </si>
  <si>
    <t>備考　</t>
  </si>
  <si>
    <t>ABC・DEF-123</t>
  </si>
  <si>
    <t>張地なし</t>
  </si>
  <si>
    <t>脚カットなしプラパートなし、●●社製品</t>
  </si>
  <si>
    <t>-</t>
  </si>
  <si>
    <t>離島</t>
  </si>
  <si>
    <t>北海道・沖縄</t>
  </si>
  <si>
    <t>本州・四国・九州</t>
  </si>
  <si>
    <t>運賃</t>
  </si>
  <si>
    <t>配送地域</t>
  </si>
  <si>
    <t>掛率</t>
  </si>
  <si>
    <t>区分</t>
  </si>
  <si>
    <t>小計</t>
  </si>
  <si>
    <t>特記事項</t>
  </si>
  <si>
    <t>チェア（キャスターなし・BK）</t>
  </si>
  <si>
    <t>チェア（N）</t>
  </si>
  <si>
    <t>高齢者施設向けチェア（肘付・NB）</t>
  </si>
  <si>
    <t>高齢者施設向けチェア（全肘・ロータイプ・NO）</t>
  </si>
  <si>
    <t>アウトドアチェア（BK）</t>
  </si>
  <si>
    <t>アウトドアチェア（WH）</t>
  </si>
  <si>
    <t>アウトドアチェア（屋内用）</t>
  </si>
  <si>
    <t>S・CM-F715・AC・BK</t>
  </si>
  <si>
    <t>S・CW-F651・AL・N</t>
  </si>
  <si>
    <t>S・CW-A020B・NB・AC</t>
  </si>
  <si>
    <t>S・CW-F747・AC・LO・NO</t>
  </si>
  <si>
    <t>S・CU-A157A・BK</t>
  </si>
  <si>
    <t>S・CU-206・WH</t>
  </si>
  <si>
    <t>S・CU-203</t>
  </si>
  <si>
    <t>C</t>
  </si>
  <si>
    <t>D</t>
  </si>
  <si>
    <t>W680・D660・H700・SH420、ﾊﾝﾄﾞﾙ：φ15.9ｽﾁｰﾙﾊﾟｲﾌﾟ･粉体塗装(黒全艶消)、脚端：ABS</t>
  </si>
  <si>
    <t>W430・D470・H760・SH440、ﾌﾚｰﾑ：FSC®認証ﾋﾞｰﾁ材･ｳﾚﾀﾝ塗装(抗ｳｲﾙｽ)</t>
  </si>
  <si>
    <t>W500・D550・H750・SH420、ﾌﾚｰﾑ：ﾗﾊﾞｰｳｯﾄﾞ成型合板(表面ﾋﾞｰﾁ)･ｳﾚﾀﾝ塗装</t>
  </si>
  <si>
    <t>W580・D575・H835・SH440、ﾌﾚｰﾑ：FSC®認証ﾚｯﾄﾞｵｰｸ材･ｳﾚﾀﾝ塗装(抗ｳｲﾙｽ)</t>
  </si>
  <si>
    <t>W450・D560・H790・SH450、主材：ｽﾁｰﾙﾛｯﾄﾞ･ｽﾁｰﾙﾊﾟｲﾌﾟ･粉体塗装･ﾎﾟﾘｴﾁﾚﾝ</t>
  </si>
  <si>
    <t>W555・D570・H830・SH430、主材：φ12ｽﾁｰﾙﾛｯﾄﾞ・紛体塗装・ﾎﾟﾘｴﾁﾚﾝ</t>
  </si>
  <si>
    <t>W575・D660・H845・SH470、主材：φ20ｱﾙﾐﾊﾟｲﾌﾟ・紛体塗装（ﾎﾜｲﾄ色）・PPﾛｰﾌﾟ、※：屋外(雨ざらし)では使用できませんのでご注意ください。</t>
  </si>
  <si>
    <t>あり</t>
  </si>
  <si>
    <t>プラパートA</t>
  </si>
  <si>
    <t>案件請求</t>
  </si>
  <si>
    <t>カタログ&amp;OEM</t>
  </si>
  <si>
    <t>張地</t>
  </si>
  <si>
    <t>単価</t>
  </si>
  <si>
    <t>外貨</t>
  </si>
  <si>
    <t>定価情報</t>
  </si>
  <si>
    <t>品目情報</t>
  </si>
  <si>
    <t>中継地</t>
  </si>
  <si>
    <t>二次配送</t>
  </si>
  <si>
    <t>返品</t>
  </si>
  <si>
    <t>品質</t>
  </si>
  <si>
    <t>案件番号：</t>
  </si>
  <si>
    <t>案件枝番：</t>
  </si>
  <si>
    <t>プランNo.：</t>
  </si>
  <si>
    <t>版数：</t>
  </si>
  <si>
    <t>案件名：</t>
  </si>
  <si>
    <t>出力依頼日</t>
  </si>
  <si>
    <t>案件請求日</t>
  </si>
  <si>
    <t>支払期限</t>
  </si>
  <si>
    <t>帳票非表示</t>
  </si>
  <si>
    <t>受注保留</t>
  </si>
  <si>
    <t>状態</t>
  </si>
  <si>
    <t>表示順</t>
  </si>
  <si>
    <t>明細番号</t>
  </si>
  <si>
    <t>内訳№</t>
  </si>
  <si>
    <t>工事</t>
  </si>
  <si>
    <t>施工</t>
  </si>
  <si>
    <t>品目CD</t>
  </si>
  <si>
    <t>特注</t>
  </si>
  <si>
    <t>得意先商品CD</t>
  </si>
  <si>
    <t>商品名</t>
  </si>
  <si>
    <t>品目名</t>
  </si>
  <si>
    <t>張地（1）</t>
  </si>
  <si>
    <t>張地名（1）</t>
  </si>
  <si>
    <t>使用箇所（1）</t>
  </si>
  <si>
    <t>張地（2）</t>
  </si>
  <si>
    <t>張地名（2）</t>
  </si>
  <si>
    <t>使用箇所（2）</t>
  </si>
  <si>
    <t>張地（3）</t>
  </si>
  <si>
    <t>張地名（3）</t>
  </si>
  <si>
    <t>使用箇所（3）</t>
  </si>
  <si>
    <t>張地（4）</t>
  </si>
  <si>
    <t>張地名（4）</t>
  </si>
  <si>
    <t>使用箇所（4）</t>
  </si>
  <si>
    <t>張地（5）</t>
  </si>
  <si>
    <t>張地名（5）</t>
  </si>
  <si>
    <t>使用箇所（5）</t>
  </si>
  <si>
    <t>張地（6）</t>
  </si>
  <si>
    <t>張地名（6）</t>
  </si>
  <si>
    <t>使用箇所（6）</t>
  </si>
  <si>
    <t>張地（7）</t>
  </si>
  <si>
    <t>張地名（7）</t>
  </si>
  <si>
    <t>使用箇所（7）</t>
  </si>
  <si>
    <t>張地（8）</t>
  </si>
  <si>
    <t>張地名（8）</t>
  </si>
  <si>
    <t>使用箇所（8）</t>
  </si>
  <si>
    <t>張地（9）</t>
  </si>
  <si>
    <t>張地名（9）</t>
  </si>
  <si>
    <t>使用箇所（9）</t>
  </si>
  <si>
    <t>張地（10）</t>
  </si>
  <si>
    <t>張地名（10）</t>
  </si>
  <si>
    <t>使用箇所（10）</t>
  </si>
  <si>
    <t>単位</t>
  </si>
  <si>
    <t>単価(シミュレーション)</t>
  </si>
  <si>
    <t>粗利率</t>
  </si>
  <si>
    <t>粗利額</t>
  </si>
  <si>
    <t>営業原価</t>
  </si>
  <si>
    <t>原価合計</t>
  </si>
  <si>
    <t>外貨原価</t>
  </si>
  <si>
    <t>仕入通貨</t>
  </si>
  <si>
    <t>外貨合計</t>
  </si>
  <si>
    <t>仕入先ＣＤ</t>
  </si>
  <si>
    <t>仕入先名</t>
  </si>
  <si>
    <t>地域</t>
  </si>
  <si>
    <t>荷渡条件</t>
  </si>
  <si>
    <t>掛率区分</t>
  </si>
  <si>
    <t>定価</t>
  </si>
  <si>
    <t>特注定価</t>
  </si>
  <si>
    <t>見積書備考</t>
  </si>
  <si>
    <t>在区</t>
  </si>
  <si>
    <t>才数計</t>
  </si>
  <si>
    <t>商品重量</t>
  </si>
  <si>
    <t>個口数</t>
  </si>
  <si>
    <t>荷札枚数</t>
  </si>
  <si>
    <t>PSE</t>
  </si>
  <si>
    <t>防炎物品</t>
  </si>
  <si>
    <t>調達/制作/豊橋工場へ連絡</t>
  </si>
  <si>
    <t>仕入先へ連絡</t>
  </si>
  <si>
    <t>納品書注記</t>
  </si>
  <si>
    <t>出荷元倉庫</t>
  </si>
  <si>
    <t>出荷元倉庫名</t>
  </si>
  <si>
    <r>
      <rPr>
        <sz val="11"/>
        <color rgb="FF000000"/>
        <rFont val="Meiryo"/>
        <family val="3"/>
        <charset val="128"/>
      </rPr>
      <t>便名</t>
    </r>
    <r>
      <rPr>
        <sz val="9"/>
        <color rgb="FF000000"/>
        <rFont val="Meiryo UI"/>
        <family val="3"/>
        <charset val="128"/>
      </rPr>
      <t>(出荷元荷渡方法)</t>
    </r>
  </si>
  <si>
    <t>出荷日</t>
  </si>
  <si>
    <t>納入日</t>
  </si>
  <si>
    <t>送り状注記</t>
  </si>
  <si>
    <t>荷札出力情報</t>
  </si>
  <si>
    <t>経由(中継地CD)</t>
  </si>
  <si>
    <t>中継地倉庫名</t>
  </si>
  <si>
    <t>中継地倉庫住所</t>
  </si>
  <si>
    <t>中継地着</t>
  </si>
  <si>
    <t>中継地出</t>
  </si>
  <si>
    <t>中継地荷渡方法</t>
  </si>
  <si>
    <t>二次配CD</t>
  </si>
  <si>
    <t>二次配倉庫名</t>
  </si>
  <si>
    <t>二次配〒</t>
  </si>
  <si>
    <t>二次配都道府県</t>
  </si>
  <si>
    <t>二次配市町村</t>
  </si>
  <si>
    <t>二次配住所</t>
  </si>
  <si>
    <t>二次配TEL</t>
  </si>
  <si>
    <t>二次配着</t>
  </si>
  <si>
    <t>二次配着時刻</t>
  </si>
  <si>
    <t>二次配出</t>
  </si>
  <si>
    <t>取引区分</t>
  </si>
  <si>
    <t>返品原因</t>
  </si>
  <si>
    <t>返品原因詳細</t>
  </si>
  <si>
    <t>返品元案件番号</t>
  </si>
  <si>
    <t>返品元案件枝番</t>
  </si>
  <si>
    <t>返品元プランNo.</t>
  </si>
  <si>
    <t>返品元版数</t>
  </si>
  <si>
    <t>返品元明細番号</t>
  </si>
  <si>
    <t>図面検証対象</t>
  </si>
  <si>
    <t>図面検証依頼済</t>
  </si>
  <si>
    <t>図面検証実施済</t>
  </si>
  <si>
    <t>強度検証対象</t>
  </si>
  <si>
    <t>強度検証依頼済</t>
  </si>
  <si>
    <t>強度検証実施済</t>
  </si>
  <si>
    <t>不具合区分</t>
  </si>
  <si>
    <t>商品区分</t>
  </si>
  <si>
    <t>要尺(120)</t>
  </si>
  <si>
    <t>税率(%)</t>
  </si>
  <si>
    <t>脚カットなしプラパートなし</t>
  </si>
  <si>
    <t>H張地なし</t>
  </si>
  <si>
    <t>SCMF715ACBK</t>
  </si>
  <si>
    <t>HC</t>
  </si>
  <si>
    <t>SCWF651ALN</t>
  </si>
  <si>
    <t>SCWA020BNBAC</t>
  </si>
  <si>
    <t>SCWF747ACLONO</t>
  </si>
  <si>
    <t>SCUA157ABK</t>
  </si>
  <si>
    <t>SCU206WHZ</t>
  </si>
  <si>
    <t>SCU203Z</t>
  </si>
  <si>
    <t>HD</t>
  </si>
  <si>
    <t>調整費</t>
    <rPh sb="0" eb="3">
      <t>チョウセイヒ</t>
    </rPh>
    <phoneticPr fontId="25"/>
  </si>
  <si>
    <t>合計（税別）</t>
    <rPh sb="0" eb="2">
      <t>ゴウケイ</t>
    </rPh>
    <rPh sb="4" eb="5">
      <t>ベツ</t>
    </rPh>
    <phoneticPr fontId="25"/>
  </si>
  <si>
    <t>消費税</t>
    <phoneticPr fontId="25"/>
  </si>
  <si>
    <t>合計（税込）</t>
    <rPh sb="0" eb="2">
      <t>ゴウケイ</t>
    </rPh>
    <rPh sb="3" eb="5">
      <t>ゼイコ</t>
    </rPh>
    <phoneticPr fontId="25"/>
  </si>
  <si>
    <t>カタログ品計</t>
    <rPh sb="4" eb="5">
      <t>ヒン</t>
    </rPh>
    <rPh sb="5" eb="6">
      <t>ケイ</t>
    </rPh>
    <phoneticPr fontId="25"/>
  </si>
  <si>
    <t>※オプションを付けると通常よりも納期がかかる場合があります。また、一部の製品はオプション対応不可の場合があります。
※価格には搬入設置費等が含まれておりません。別途費用が掛かりますので、予めご了承ください。
※ご発注の際には御見積書が必要です。御見積書のご依頼は担当営業所にお問い合わせください。
※一部の製品は軽減税率が適用になる場合があります。
※運賃は条件により、表示金額より高くなる場合がございます。
※本リストに記載の見積金額は、発行日より1か月間有効です。ただし、価格改定の時期と重なる場合には、金額が変更となる可能性がございます。予めご了承ください。
※調整費は、国際情勢に伴う調達・物流コスト変動への対応費用です。状況により変動する場合がございます。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</si>
</sst>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0;[Red]\-0;"/>
    <numFmt numFmtId="177" formatCode="0.00_ ;[Red]\-0.00\ "/>
    <numFmt numFmtId="178" formatCode="0.00;[Red]\-0.00;"/>
    <numFmt numFmtId="179" formatCode="#,##0.00_ ;[Red]\-#,##0.00\ "/>
    <numFmt numFmtId="180" formatCode="0.0;[Red]\-0.0;"/>
    <numFmt numFmtId="181" formatCode="0.00_ "/>
    <numFmt numFmtId="182" formatCode="#,##0_ ;[Red]\-#,##0\ "/>
  </numFmts>
  <fonts count="26">
    <font>
      <sz val="9"/>
      <color rgb="FF000000"/>
      <name val="Calibri"/>
      <scheme val="minor"/>
    </font>
    <font>
      <sz val="16"/>
      <color rgb="FF000000"/>
      <name val="Meiryo"/>
      <family val="3"/>
      <charset val="128"/>
    </font>
    <font>
      <b/>
      <sz val="16"/>
      <color rgb="FF000000"/>
      <name val="Meiryo"/>
      <family val="3"/>
      <charset val="128"/>
    </font>
    <font>
      <sz val="11"/>
      <color rgb="FFFFFFFF"/>
      <name val="Meiryo"/>
      <family val="3"/>
      <charset val="128"/>
    </font>
    <font>
      <sz val="11"/>
      <color rgb="FF000000"/>
      <name val="Meiryo"/>
      <family val="3"/>
      <charset val="128"/>
    </font>
    <font>
      <sz val="11"/>
      <color rgb="FF000000"/>
      <name val="Arimo"/>
    </font>
    <font>
      <b/>
      <sz val="11"/>
      <color rgb="FF000000"/>
      <name val="Meiryo"/>
      <family val="3"/>
      <charset val="128"/>
    </font>
    <font>
      <sz val="12"/>
      <color rgb="FFFFFFFF"/>
      <name val="Meiryo"/>
      <family val="3"/>
      <charset val="128"/>
    </font>
    <font>
      <sz val="10"/>
      <color rgb="FF000000"/>
      <name val="游ゴシック"/>
      <family val="3"/>
      <charset val="128"/>
    </font>
    <font>
      <b/>
      <sz val="26"/>
      <color rgb="FF00000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14"/>
      <color rgb="FF000000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Calibri"/>
      <family val="2"/>
      <scheme val="minor"/>
    </font>
    <font>
      <sz val="18"/>
      <color rgb="FF000000"/>
      <name val="游ゴシック"/>
      <family val="3"/>
      <charset val="128"/>
    </font>
    <font>
      <b/>
      <sz val="8"/>
      <color rgb="FF000000"/>
      <name val="游ゴシック"/>
      <family val="3"/>
      <charset val="128"/>
    </font>
    <font>
      <b/>
      <sz val="10"/>
      <color rgb="FFC00000"/>
      <name val="游ゴシック"/>
      <family val="3"/>
      <charset val="128"/>
    </font>
    <font>
      <b/>
      <sz val="11"/>
      <color rgb="FFC00000"/>
      <name val="游ゴシック"/>
      <family val="3"/>
      <charset val="128"/>
    </font>
    <font>
      <sz val="12"/>
      <color rgb="FF000000"/>
      <name val="Calibri"/>
      <family val="2"/>
    </font>
    <font>
      <sz val="16"/>
      <color rgb="FF000000"/>
      <name val="游ゴシック"/>
      <family val="3"/>
      <charset val="128"/>
    </font>
    <font>
      <sz val="10"/>
      <color rgb="FF000000"/>
      <name val="Meiryo"/>
      <family val="3"/>
      <charset val="128"/>
    </font>
    <font>
      <b/>
      <sz val="11"/>
      <color rgb="FF000000"/>
      <name val="游ゴシック"/>
      <family val="3"/>
      <charset val="128"/>
    </font>
    <font>
      <sz val="9"/>
      <color rgb="FF000000"/>
      <name val="Meiryo UI"/>
      <family val="3"/>
      <charset val="128"/>
    </font>
    <font>
      <sz val="6"/>
      <name val="Calibri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36C09"/>
        <bgColor rgb="FFE36C09"/>
      </patternFill>
    </fill>
    <fill>
      <patternFill patternType="solid">
        <fgColor rgb="FFFFFF99"/>
        <bgColor rgb="FFFFFF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808080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38" fontId="0" fillId="0" borderId="0" xfId="0" applyNumberFormat="1" applyAlignment="1">
      <alignment vertical="center"/>
    </xf>
    <xf numFmtId="38" fontId="1" fillId="2" borderId="0" xfId="0" applyNumberFormat="1" applyFont="1" applyFill="1"/>
    <xf numFmtId="38" fontId="2" fillId="2" borderId="0" xfId="0" applyNumberFormat="1" applyFont="1" applyFill="1" applyAlignment="1">
      <alignment vertical="top"/>
    </xf>
    <xf numFmtId="38" fontId="3" fillId="3" borderId="0" xfId="0" applyNumberFormat="1" applyFont="1" applyFill="1" applyAlignment="1">
      <alignment horizontal="center" vertical="center"/>
    </xf>
    <xf numFmtId="38" fontId="4" fillId="2" borderId="0" xfId="0" applyNumberFormat="1" applyFont="1" applyFill="1"/>
    <xf numFmtId="38" fontId="4" fillId="4" borderId="0" xfId="0" applyNumberFormat="1" applyFont="1" applyFill="1"/>
    <xf numFmtId="38" fontId="4" fillId="5" borderId="0" xfId="0" applyNumberFormat="1" applyFont="1" applyFill="1" applyAlignment="1">
      <alignment horizontal="left" vertical="center"/>
    </xf>
    <xf numFmtId="38" fontId="4" fillId="4" borderId="0" xfId="0" applyNumberFormat="1" applyFont="1" applyFill="1" applyAlignment="1">
      <alignment horizontal="center" vertical="center"/>
    </xf>
    <xf numFmtId="38" fontId="4" fillId="0" borderId="0" xfId="0" applyNumberFormat="1" applyFont="1"/>
    <xf numFmtId="58" fontId="4" fillId="0" borderId="0" xfId="0" applyNumberFormat="1" applyFont="1"/>
    <xf numFmtId="176" fontId="4" fillId="0" borderId="0" xfId="0" applyNumberFormat="1" applyFont="1"/>
    <xf numFmtId="176" fontId="5" fillId="0" borderId="0" xfId="0" applyNumberFormat="1" applyFont="1"/>
    <xf numFmtId="38" fontId="2" fillId="2" borderId="0" xfId="0" applyNumberFormat="1" applyFont="1" applyFill="1" applyAlignment="1">
      <alignment horizontal="left" vertical="top"/>
    </xf>
    <xf numFmtId="38" fontId="6" fillId="2" borderId="0" xfId="0" applyNumberFormat="1" applyFont="1" applyFill="1"/>
    <xf numFmtId="38" fontId="4" fillId="2" borderId="1" xfId="0" applyNumberFormat="1" applyFont="1" applyFill="1" applyBorder="1" applyAlignment="1">
      <alignment horizontal="left"/>
    </xf>
    <xf numFmtId="38" fontId="4" fillId="2" borderId="2" xfId="0" applyNumberFormat="1" applyFont="1" applyFill="1" applyBorder="1"/>
    <xf numFmtId="38" fontId="4" fillId="2" borderId="0" xfId="0" applyNumberFormat="1" applyFont="1" applyFill="1" applyAlignment="1">
      <alignment horizontal="right"/>
    </xf>
    <xf numFmtId="38" fontId="4" fillId="2" borderId="3" xfId="0" applyNumberFormat="1" applyFont="1" applyFill="1" applyBorder="1" applyAlignment="1">
      <alignment horizontal="left"/>
    </xf>
    <xf numFmtId="38" fontId="4" fillId="2" borderId="4" xfId="0" applyNumberFormat="1" applyFont="1" applyFill="1" applyBorder="1"/>
    <xf numFmtId="38" fontId="4" fillId="2" borderId="5" xfId="0" applyNumberFormat="1" applyFont="1" applyFill="1" applyBorder="1"/>
    <xf numFmtId="38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0" borderId="0" xfId="0" applyNumberFormat="1" applyFont="1"/>
    <xf numFmtId="38" fontId="7" fillId="3" borderId="0" xfId="0" applyNumberFormat="1" applyFont="1" applyFill="1" applyAlignment="1">
      <alignment horizontal="center" vertical="center"/>
    </xf>
    <xf numFmtId="38" fontId="4" fillId="4" borderId="0" xfId="0" applyNumberFormat="1" applyFont="1" applyFill="1" applyAlignment="1">
      <alignment horizontal="left" vertical="center"/>
    </xf>
    <xf numFmtId="176" fontId="1" fillId="2" borderId="0" xfId="0" applyNumberFormat="1" applyFont="1" applyFill="1"/>
    <xf numFmtId="176" fontId="4" fillId="2" borderId="0" xfId="0" applyNumberFormat="1" applyFont="1" applyFill="1"/>
    <xf numFmtId="38" fontId="4" fillId="6" borderId="6" xfId="0" applyNumberFormat="1" applyFont="1" applyFill="1" applyBorder="1"/>
    <xf numFmtId="177" fontId="4" fillId="6" borderId="6" xfId="0" applyNumberFormat="1" applyFont="1" applyFill="1" applyBorder="1"/>
    <xf numFmtId="178" fontId="4" fillId="2" borderId="0" xfId="0" applyNumberFormat="1" applyFont="1" applyFill="1"/>
    <xf numFmtId="38" fontId="4" fillId="4" borderId="0" xfId="0" applyNumberFormat="1" applyFont="1" applyFill="1" applyAlignment="1">
      <alignment vertical="center"/>
    </xf>
    <xf numFmtId="38" fontId="4" fillId="7" borderId="0" xfId="0" applyNumberFormat="1" applyFont="1" applyFill="1" applyAlignment="1">
      <alignment horizontal="left" vertical="center"/>
    </xf>
    <xf numFmtId="176" fontId="4" fillId="4" borderId="0" xfId="0" applyNumberFormat="1" applyFont="1" applyFill="1" applyAlignment="1">
      <alignment horizontal="center" vertical="center"/>
    </xf>
    <xf numFmtId="6" fontId="5" fillId="0" borderId="0" xfId="0" applyNumberFormat="1" applyFont="1"/>
    <xf numFmtId="178" fontId="5" fillId="0" borderId="0" xfId="0" applyNumberFormat="1" applyFont="1"/>
    <xf numFmtId="40" fontId="4" fillId="6" borderId="6" xfId="0" applyNumberFormat="1" applyFont="1" applyFill="1" applyBorder="1"/>
    <xf numFmtId="40" fontId="4" fillId="2" borderId="0" xfId="0" applyNumberFormat="1" applyFont="1" applyFill="1"/>
    <xf numFmtId="40" fontId="5" fillId="0" borderId="0" xfId="0" applyNumberFormat="1" applyFont="1"/>
    <xf numFmtId="178" fontId="1" fillId="2" borderId="0" xfId="0" applyNumberFormat="1" applyFont="1" applyFill="1"/>
    <xf numFmtId="38" fontId="3" fillId="2" borderId="0" xfId="0" applyNumberFormat="1" applyFont="1" applyFill="1" applyAlignment="1">
      <alignment horizontal="center" vertical="center"/>
    </xf>
    <xf numFmtId="179" fontId="4" fillId="6" borderId="6" xfId="0" applyNumberFormat="1" applyFont="1" applyFill="1" applyBorder="1"/>
    <xf numFmtId="38" fontId="4" fillId="7" borderId="0" xfId="0" applyNumberFormat="1" applyFont="1" applyFill="1" applyAlignment="1">
      <alignment horizontal="center" vertical="center"/>
    </xf>
    <xf numFmtId="180" fontId="5" fillId="0" borderId="0" xfId="0" applyNumberFormat="1" applyFont="1"/>
    <xf numFmtId="179" fontId="5" fillId="0" borderId="0" xfId="0" applyNumberFormat="1" applyFont="1"/>
    <xf numFmtId="38" fontId="4" fillId="7" borderId="0" xfId="0" applyNumberFormat="1" applyFont="1" applyFill="1" applyAlignment="1">
      <alignment vertical="center"/>
    </xf>
    <xf numFmtId="38" fontId="4" fillId="7" borderId="0" xfId="0" applyNumberFormat="1" applyFont="1" applyFill="1" applyAlignment="1">
      <alignment horizontal="right" vertical="center"/>
    </xf>
    <xf numFmtId="181" fontId="5" fillId="0" borderId="0" xfId="0" applyNumberFormat="1" applyFont="1"/>
    <xf numFmtId="38" fontId="8" fillId="0" borderId="0" xfId="0" applyNumberFormat="1" applyFont="1" applyAlignment="1">
      <alignment vertical="center"/>
    </xf>
    <xf numFmtId="38" fontId="9" fillId="0" borderId="0" xfId="0" applyNumberFormat="1" applyFont="1" applyAlignment="1">
      <alignment vertical="center"/>
    </xf>
    <xf numFmtId="38" fontId="10" fillId="0" borderId="0" xfId="0" applyNumberFormat="1" applyFont="1" applyAlignment="1">
      <alignment horizontal="center" vertical="center"/>
    </xf>
    <xf numFmtId="38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38" fontId="10" fillId="0" borderId="0" xfId="0" applyNumberFormat="1" applyFont="1" applyAlignment="1">
      <alignment vertical="center"/>
    </xf>
    <xf numFmtId="38" fontId="8" fillId="0" borderId="0" xfId="0" applyNumberFormat="1" applyFont="1" applyAlignment="1">
      <alignment vertical="top"/>
    </xf>
    <xf numFmtId="38" fontId="10" fillId="0" borderId="0" xfId="0" applyNumberFormat="1" applyFont="1" applyAlignment="1">
      <alignment horizontal="left" vertical="center"/>
    </xf>
    <xf numFmtId="38" fontId="12" fillId="0" borderId="0" xfId="0" applyNumberFormat="1" applyFont="1" applyAlignment="1">
      <alignment horizontal="center" vertical="center"/>
    </xf>
    <xf numFmtId="38" fontId="12" fillId="0" borderId="0" xfId="0" applyNumberFormat="1" applyFont="1" applyAlignment="1">
      <alignment horizontal="left" vertical="center"/>
    </xf>
    <xf numFmtId="38" fontId="11" fillId="0" borderId="0" xfId="0" applyNumberFormat="1" applyFont="1" applyAlignment="1">
      <alignment vertical="center"/>
    </xf>
    <xf numFmtId="38" fontId="14" fillId="0" borderId="0" xfId="0" applyNumberFormat="1" applyFont="1" applyAlignment="1">
      <alignment horizontal="left" vertical="center"/>
    </xf>
    <xf numFmtId="182" fontId="12" fillId="0" borderId="0" xfId="0" applyNumberFormat="1" applyFont="1" applyAlignment="1">
      <alignment horizontal="right" vertical="center"/>
    </xf>
    <xf numFmtId="3" fontId="11" fillId="0" borderId="0" xfId="0" applyNumberFormat="1" applyFont="1" applyAlignment="1">
      <alignment vertical="center"/>
    </xf>
    <xf numFmtId="38" fontId="15" fillId="0" borderId="0" xfId="0" applyNumberFormat="1" applyFont="1" applyAlignment="1">
      <alignment vertical="center"/>
    </xf>
    <xf numFmtId="38" fontId="16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38" fontId="19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right" vertical="center"/>
    </xf>
    <xf numFmtId="38" fontId="21" fillId="0" borderId="0" xfId="0" applyNumberFormat="1" applyFont="1" applyAlignment="1">
      <alignment horizontal="right" vertical="center"/>
    </xf>
    <xf numFmtId="38" fontId="22" fillId="0" borderId="0" xfId="0" applyNumberFormat="1" applyFont="1" applyAlignment="1">
      <alignment horizontal="center" vertical="center"/>
    </xf>
    <xf numFmtId="38" fontId="13" fillId="0" borderId="0" xfId="0" applyNumberFormat="1" applyFont="1" applyAlignment="1">
      <alignment vertical="center"/>
    </xf>
    <xf numFmtId="38" fontId="22" fillId="0" borderId="0" xfId="0" applyNumberFormat="1" applyFont="1" applyAlignment="1">
      <alignment vertical="center"/>
    </xf>
    <xf numFmtId="38" fontId="16" fillId="0" borderId="0" xfId="0" applyNumberFormat="1" applyFont="1" applyAlignment="1">
      <alignment horizontal="right" vertical="center"/>
    </xf>
    <xf numFmtId="38" fontId="19" fillId="0" borderId="0" xfId="0" applyNumberFormat="1" applyFont="1" applyAlignment="1">
      <alignment horizontal="right" vertical="center"/>
    </xf>
    <xf numFmtId="38" fontId="22" fillId="0" borderId="0" xfId="0" applyNumberFormat="1" applyFont="1" applyAlignment="1">
      <alignment vertical="center" shrinkToFit="1"/>
    </xf>
    <xf numFmtId="38" fontId="8" fillId="0" borderId="0" xfId="0" applyNumberFormat="1" applyFont="1" applyAlignment="1">
      <alignment horizontal="right" vertical="center"/>
    </xf>
    <xf numFmtId="0" fontId="12" fillId="8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38" fontId="9" fillId="0" borderId="0" xfId="0" applyNumberFormat="1" applyFont="1" applyAlignment="1">
      <alignment horizontal="left" vertical="center"/>
    </xf>
    <xf numFmtId="38" fontId="0" fillId="0" borderId="0" xfId="0" applyNumberFormat="1" applyAlignment="1">
      <alignment vertical="center"/>
    </xf>
    <xf numFmtId="38" fontId="11" fillId="0" borderId="7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 shrinkToFit="1"/>
    </xf>
    <xf numFmtId="0" fontId="23" fillId="0" borderId="0" xfId="0" applyFont="1" applyAlignment="1">
      <alignment horizontal="left" vertical="center"/>
    </xf>
    <xf numFmtId="3" fontId="12" fillId="8" borderId="0" xfId="0" applyNumberFormat="1" applyFont="1" applyFill="1" applyAlignment="1">
      <alignment horizontal="left" vertical="center"/>
    </xf>
    <xf numFmtId="2" fontId="12" fillId="8" borderId="0" xfId="0" applyNumberFormat="1" applyFont="1" applyFill="1" applyAlignment="1">
      <alignment horizontal="center" vertical="center"/>
    </xf>
    <xf numFmtId="38" fontId="21" fillId="0" borderId="0" xfId="0" applyNumberFormat="1" applyFont="1" applyAlignment="1">
      <alignment horizontal="right" vertical="center"/>
    </xf>
    <xf numFmtId="0" fontId="23" fillId="8" borderId="0" xfId="0" applyFont="1" applyFill="1" applyAlignment="1">
      <alignment horizontal="center" vertical="center"/>
    </xf>
    <xf numFmtId="38" fontId="0" fillId="8" borderId="0" xfId="0" applyNumberFormat="1" applyFill="1" applyAlignment="1">
      <alignment vertical="center"/>
    </xf>
    <xf numFmtId="38" fontId="13" fillId="0" borderId="7" xfId="0" applyNumberFormat="1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38" fontId="12" fillId="0" borderId="7" xfId="0" applyNumberFormat="1" applyFont="1" applyBorder="1" applyAlignment="1">
      <alignment horizontal="center" vertical="center"/>
    </xf>
    <xf numFmtId="38" fontId="14" fillId="0" borderId="7" xfId="0" applyNumberFormat="1" applyFont="1" applyBorder="1" applyAlignment="1">
      <alignment horizontal="left" vertical="top" wrapText="1"/>
    </xf>
    <xf numFmtId="3" fontId="12" fillId="0" borderId="7" xfId="0" applyNumberFormat="1" applyFont="1" applyBorder="1" applyAlignment="1">
      <alignment horizontal="right" vertical="center" shrinkToFit="1"/>
    </xf>
    <xf numFmtId="0" fontId="20" fillId="0" borderId="7" xfId="0" applyFont="1" applyBorder="1" applyAlignment="1">
      <alignment vertical="center"/>
    </xf>
    <xf numFmtId="38" fontId="12" fillId="0" borderId="7" xfId="0" applyNumberFormat="1" applyFont="1" applyBorder="1" applyAlignment="1">
      <alignment horizontal="right" vertical="center"/>
    </xf>
    <xf numFmtId="3" fontId="14" fillId="0" borderId="7" xfId="0" applyNumberFormat="1" applyFont="1" applyBorder="1" applyAlignment="1">
      <alignment horizontal="left" vertical="top" shrinkToFit="1"/>
    </xf>
    <xf numFmtId="0" fontId="23" fillId="8" borderId="0" xfId="0" applyFont="1" applyFill="1" applyAlignment="1">
      <alignment horizontal="left" vertical="center"/>
    </xf>
    <xf numFmtId="38" fontId="0" fillId="8" borderId="0" xfId="0" applyNumberForma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38" fontId="21" fillId="6" borderId="0" xfId="0" applyNumberFormat="1" applyFont="1" applyFill="1" applyAlignment="1">
      <alignment horizontal="right" vertical="center"/>
    </xf>
    <xf numFmtId="38" fontId="0" fillId="6" borderId="0" xfId="0" applyNumberFormat="1" applyFill="1" applyAlignment="1">
      <alignment vertical="center"/>
    </xf>
    <xf numFmtId="38" fontId="21" fillId="9" borderId="0" xfId="0" applyNumberFormat="1" applyFont="1" applyFill="1" applyAlignment="1">
      <alignment horizontal="right" vertical="center"/>
    </xf>
    <xf numFmtId="38" fontId="0" fillId="9" borderId="0" xfId="0" applyNumberFormat="1" applyFill="1" applyAlignment="1">
      <alignment vertical="center"/>
    </xf>
    <xf numFmtId="38" fontId="17" fillId="0" borderId="8" xfId="0" applyNumberFormat="1" applyFont="1" applyBorder="1" applyAlignment="1">
      <alignment horizontal="center" vertical="center"/>
    </xf>
    <xf numFmtId="38" fontId="17" fillId="0" borderId="7" xfId="0" applyNumberFormat="1" applyFont="1" applyBorder="1" applyAlignment="1">
      <alignment horizontal="center" vertical="center"/>
    </xf>
    <xf numFmtId="38" fontId="17" fillId="0" borderId="9" xfId="0" applyNumberFormat="1" applyFont="1" applyBorder="1" applyAlignment="1">
      <alignment horizontal="center" vertical="center"/>
    </xf>
    <xf numFmtId="38" fontId="8" fillId="0" borderId="0" xfId="0" applyNumberFormat="1" applyFont="1" applyAlignment="1">
      <alignment horizontal="left" vertical="top" wrapText="1"/>
    </xf>
  </cellXfs>
  <cellStyles count="1">
    <cellStyle name="標準" xfId="0" builtinId="0"/>
  </cellStyles>
  <dxfs count="2">
    <dxf>
      <fill>
        <patternFill patternType="solid">
          <fgColor rgb="FFC6D9F0"/>
          <bgColor rgb="FFC6D9F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67</xdr:col>
      <xdr:colOff>123825</xdr:colOff>
      <xdr:row>2</xdr:row>
      <xdr:rowOff>152400</xdr:rowOff>
    </xdr:from>
    <xdr:to>
      <xdr:col>73</xdr:col>
      <xdr:colOff>171450</xdr:colOff>
      <xdr:row>2</xdr:row>
      <xdr:rowOff>485775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2075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801"/>
  <sheetViews>
    <sheetView showGridLines="0" tabSelected="1" view="pageBreakPreview" zoomScale="70" zoomScaleSheetLayoutView="70" workbookViewId="0">
      <selection activeCell="AQ16" sqref="AQ16:AT16"/>
    </sheetView>
  </sheetViews>
  <sheetFormatPr defaultColWidth="14.33203125" defaultRowHeight="15" customHeight="1"/>
  <cols>
    <col min="1" max="1" width="3.33203125" customWidth="1"/>
    <col min="2" max="73" width="3.83203125" customWidth="1"/>
    <col min="74" max="84" width="3.33203125" customWidth="1"/>
    <col min="85" max="85" width="5.6640625" customWidth="1"/>
    <col min="86" max="92" width="3.33203125" customWidth="1"/>
  </cols>
  <sheetData>
    <row r="1" spans="1:92" ht="15.7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</row>
    <row r="2" spans="1:92" ht="15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71"/>
      <c r="BY2" s="71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</row>
    <row r="3" spans="1:92" ht="51" customHeight="1">
      <c r="A3" s="47"/>
      <c r="B3" s="76" t="s">
        <v>0</v>
      </c>
      <c r="C3" s="77"/>
      <c r="D3" s="77"/>
      <c r="E3" s="77"/>
      <c r="F3" s="77"/>
      <c r="G3" s="77"/>
      <c r="H3" s="77"/>
      <c r="I3" s="77"/>
      <c r="J3" s="54" t="s">
        <v>1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9"/>
      <c r="BS3" s="67"/>
      <c r="BT3" s="67"/>
      <c r="BU3" s="67"/>
      <c r="BV3" s="72"/>
      <c r="BW3" s="72"/>
      <c r="BX3" s="72"/>
      <c r="BY3" s="72"/>
      <c r="BZ3" s="73"/>
      <c r="CA3" s="6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67"/>
      <c r="CM3" s="47"/>
      <c r="CN3" s="47"/>
    </row>
    <row r="4" spans="1:92" ht="8.25" customHeight="1">
      <c r="A4" s="47"/>
      <c r="B4" s="48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9"/>
      <c r="BS4" s="67"/>
      <c r="BT4" s="67"/>
      <c r="BU4" s="67"/>
      <c r="BV4" s="72"/>
      <c r="BW4" s="72"/>
      <c r="BX4" s="72"/>
      <c r="BY4" s="72"/>
      <c r="BZ4" s="73"/>
      <c r="CA4" s="47" t="s">
        <v>2</v>
      </c>
      <c r="CB4" s="47" t="s">
        <v>2</v>
      </c>
      <c r="CC4" s="47" t="s">
        <v>2</v>
      </c>
      <c r="CD4" s="47" t="s">
        <v>2</v>
      </c>
      <c r="CE4" s="47" t="s">
        <v>2</v>
      </c>
      <c r="CF4" s="47"/>
      <c r="CG4" s="47" t="s">
        <v>2</v>
      </c>
      <c r="CH4" s="47" t="s">
        <v>2</v>
      </c>
      <c r="CI4" s="47" t="s">
        <v>2</v>
      </c>
      <c r="CJ4" s="47" t="s">
        <v>2</v>
      </c>
      <c r="CK4" s="47"/>
      <c r="CL4" s="67"/>
      <c r="CM4" s="47"/>
      <c r="CN4" s="47"/>
    </row>
    <row r="5" spans="1:92" ht="26.25" customHeight="1">
      <c r="A5" s="49"/>
      <c r="B5" s="78" t="s">
        <v>3</v>
      </c>
      <c r="C5" s="78"/>
      <c r="D5" s="79" t="s">
        <v>4</v>
      </c>
      <c r="E5" s="79"/>
      <c r="F5" s="79"/>
      <c r="G5" s="79"/>
      <c r="H5" s="79"/>
      <c r="I5" s="79"/>
      <c r="J5" s="79"/>
      <c r="K5" s="79"/>
      <c r="L5" s="79"/>
      <c r="M5" s="79"/>
      <c r="N5" s="78" t="s">
        <v>5</v>
      </c>
      <c r="O5" s="78"/>
      <c r="P5" s="78"/>
      <c r="Q5" s="78"/>
      <c r="R5" s="78"/>
      <c r="S5" s="78"/>
      <c r="T5" s="78"/>
      <c r="U5" s="78"/>
      <c r="V5" s="78" t="s">
        <v>6</v>
      </c>
      <c r="W5" s="78"/>
      <c r="X5" s="78"/>
      <c r="Y5" s="78"/>
      <c r="Z5" s="78" t="s">
        <v>7</v>
      </c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 t="s">
        <v>8</v>
      </c>
      <c r="AS5" s="78"/>
      <c r="AT5" s="78"/>
      <c r="AU5" s="78"/>
      <c r="AV5" s="78"/>
      <c r="AW5" s="78"/>
      <c r="AX5" s="78" t="s">
        <v>9</v>
      </c>
      <c r="AY5" s="78"/>
      <c r="AZ5" s="78"/>
      <c r="BA5" s="78"/>
      <c r="BB5" s="78" t="s">
        <v>10</v>
      </c>
      <c r="BC5" s="78"/>
      <c r="BD5" s="78"/>
      <c r="BE5" s="78"/>
      <c r="BF5" s="78" t="s">
        <v>11</v>
      </c>
      <c r="BG5" s="78"/>
      <c r="BH5" s="78" t="s">
        <v>12</v>
      </c>
      <c r="BI5" s="78"/>
      <c r="BJ5" s="78"/>
      <c r="BK5" s="78"/>
      <c r="BL5" s="78" t="s">
        <v>13</v>
      </c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49"/>
      <c r="BZ5" s="49"/>
      <c r="CH5" s="49"/>
      <c r="CI5" s="49"/>
      <c r="CJ5" s="49"/>
      <c r="CK5" s="49"/>
      <c r="CL5" s="49"/>
      <c r="CM5" s="49"/>
      <c r="CN5" s="49"/>
    </row>
    <row r="6" spans="1:92" ht="45" customHeight="1">
      <c r="A6" s="50"/>
      <c r="B6" s="86">
        <v>1</v>
      </c>
      <c r="C6" s="86"/>
      <c r="D6" s="87"/>
      <c r="E6" s="87"/>
      <c r="F6" s="87"/>
      <c r="G6" s="87"/>
      <c r="H6" s="87"/>
      <c r="I6" s="87"/>
      <c r="J6" s="87"/>
      <c r="K6" s="87"/>
      <c r="L6" s="87"/>
      <c r="M6" s="87"/>
      <c r="N6" s="88" t="s">
        <v>14</v>
      </c>
      <c r="O6" s="88"/>
      <c r="P6" s="88"/>
      <c r="Q6" s="88"/>
      <c r="R6" s="88"/>
      <c r="S6" s="88"/>
      <c r="T6" s="88"/>
      <c r="U6" s="88"/>
      <c r="V6" s="89" t="s">
        <v>15</v>
      </c>
      <c r="W6" s="89"/>
      <c r="X6" s="89"/>
      <c r="Y6" s="89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89">
        <v>3</v>
      </c>
      <c r="AS6" s="89"/>
      <c r="AT6" s="89"/>
      <c r="AU6" s="89"/>
      <c r="AV6" s="89"/>
      <c r="AW6" s="89"/>
      <c r="AX6" s="91">
        <v>30000</v>
      </c>
      <c r="AY6" s="92"/>
      <c r="AZ6" s="92"/>
      <c r="BA6" s="92"/>
      <c r="BB6" s="91">
        <f t="shared" ref="BB6:BB13" si="0">IFERROR(AX6*AR6,"")</f>
        <v>90000</v>
      </c>
      <c r="BC6" s="91"/>
      <c r="BD6" s="91"/>
      <c r="BE6" s="91"/>
      <c r="BF6" s="93">
        <v>10</v>
      </c>
      <c r="BG6" s="93"/>
      <c r="BH6" s="91">
        <f t="shared" ref="BH6:BH13" si="1">IFERROR(BB6*BF6*0.01,"")</f>
        <v>9000</v>
      </c>
      <c r="BI6" s="91"/>
      <c r="BJ6" s="91"/>
      <c r="BK6" s="91"/>
      <c r="BL6" s="94" t="s">
        <v>16</v>
      </c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50"/>
      <c r="BZ6" s="50"/>
      <c r="CH6" s="50"/>
      <c r="CI6" s="50"/>
      <c r="CJ6" s="50"/>
      <c r="CK6" s="50"/>
      <c r="CL6" s="50"/>
      <c r="CM6" s="50"/>
      <c r="CN6" s="50"/>
    </row>
    <row r="7" spans="1:92" ht="58.5" customHeight="1">
      <c r="A7" s="50"/>
      <c r="B7" s="86">
        <v>2</v>
      </c>
      <c r="C7" s="86"/>
      <c r="D7" s="87" t="s">
        <v>27</v>
      </c>
      <c r="E7" s="87"/>
      <c r="F7" s="87"/>
      <c r="G7" s="87"/>
      <c r="H7" s="87"/>
      <c r="I7" s="87"/>
      <c r="J7" s="87"/>
      <c r="K7" s="87"/>
      <c r="L7" s="87"/>
      <c r="M7" s="87"/>
      <c r="N7" s="88" t="s">
        <v>34</v>
      </c>
      <c r="O7" s="88"/>
      <c r="P7" s="88"/>
      <c r="Q7" s="88"/>
      <c r="R7" s="88"/>
      <c r="S7" s="88"/>
      <c r="T7" s="88"/>
      <c r="U7" s="88"/>
      <c r="V7" s="89" t="s">
        <v>41</v>
      </c>
      <c r="W7" s="89"/>
      <c r="X7" s="89"/>
      <c r="Y7" s="89"/>
      <c r="Z7" s="90" t="s">
        <v>43</v>
      </c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89">
        <v>1</v>
      </c>
      <c r="AS7" s="89"/>
      <c r="AT7" s="89"/>
      <c r="AU7" s="89"/>
      <c r="AV7" s="89"/>
      <c r="AW7" s="89"/>
      <c r="AX7" s="91">
        <v>347000</v>
      </c>
      <c r="AY7" s="92"/>
      <c r="AZ7" s="92"/>
      <c r="BA7" s="92"/>
      <c r="BB7" s="91">
        <f t="shared" si="0"/>
        <v>347000</v>
      </c>
      <c r="BC7" s="91"/>
      <c r="BD7" s="91"/>
      <c r="BE7" s="91"/>
      <c r="BF7" s="93">
        <v>10</v>
      </c>
      <c r="BG7" s="93"/>
      <c r="BH7" s="91">
        <f t="shared" si="1"/>
        <v>34700</v>
      </c>
      <c r="BI7" s="91"/>
      <c r="BJ7" s="91"/>
      <c r="BK7" s="91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50"/>
      <c r="BZ7" s="50"/>
      <c r="CH7" s="50"/>
      <c r="CI7" s="50"/>
      <c r="CJ7" s="50"/>
      <c r="CK7" s="50"/>
      <c r="CL7" s="50"/>
      <c r="CM7" s="50"/>
      <c r="CN7" s="50"/>
    </row>
    <row r="8" spans="1:92" ht="58.5" customHeight="1">
      <c r="A8" s="50"/>
      <c r="B8" s="86">
        <v>3</v>
      </c>
      <c r="C8" s="86"/>
      <c r="D8" s="87" t="s">
        <v>28</v>
      </c>
      <c r="E8" s="87"/>
      <c r="F8" s="87"/>
      <c r="G8" s="87"/>
      <c r="H8" s="87"/>
      <c r="I8" s="87"/>
      <c r="J8" s="87"/>
      <c r="K8" s="87"/>
      <c r="L8" s="87"/>
      <c r="M8" s="87"/>
      <c r="N8" s="88" t="s">
        <v>35</v>
      </c>
      <c r="O8" s="88"/>
      <c r="P8" s="88"/>
      <c r="Q8" s="88"/>
      <c r="R8" s="88"/>
      <c r="S8" s="88"/>
      <c r="T8" s="88"/>
      <c r="U8" s="88"/>
      <c r="V8" s="89" t="s">
        <v>41</v>
      </c>
      <c r="W8" s="89"/>
      <c r="X8" s="89"/>
      <c r="Y8" s="89"/>
      <c r="Z8" s="90" t="s">
        <v>44</v>
      </c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89">
        <v>1</v>
      </c>
      <c r="AS8" s="89"/>
      <c r="AT8" s="89"/>
      <c r="AU8" s="89"/>
      <c r="AV8" s="89"/>
      <c r="AW8" s="89"/>
      <c r="AX8" s="91">
        <v>28200</v>
      </c>
      <c r="AY8" s="92"/>
      <c r="AZ8" s="92"/>
      <c r="BA8" s="92"/>
      <c r="BB8" s="91">
        <f t="shared" si="0"/>
        <v>28200</v>
      </c>
      <c r="BC8" s="91"/>
      <c r="BD8" s="91"/>
      <c r="BE8" s="91"/>
      <c r="BF8" s="93">
        <v>10</v>
      </c>
      <c r="BG8" s="93"/>
      <c r="BH8" s="91">
        <f t="shared" si="1"/>
        <v>2820</v>
      </c>
      <c r="BI8" s="91"/>
      <c r="BJ8" s="91"/>
      <c r="BK8" s="91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50"/>
      <c r="BZ8" s="50"/>
      <c r="CH8" s="50"/>
      <c r="CI8" s="50"/>
      <c r="CJ8" s="50"/>
      <c r="CK8" s="50"/>
      <c r="CL8" s="50"/>
      <c r="CM8" s="50"/>
      <c r="CN8" s="50"/>
    </row>
    <row r="9" spans="1:92" ht="58.5" customHeight="1">
      <c r="A9" s="50"/>
      <c r="B9" s="86">
        <v>4</v>
      </c>
      <c r="C9" s="86"/>
      <c r="D9" s="87" t="s">
        <v>29</v>
      </c>
      <c r="E9" s="87"/>
      <c r="F9" s="87"/>
      <c r="G9" s="87"/>
      <c r="H9" s="87"/>
      <c r="I9" s="87"/>
      <c r="J9" s="87"/>
      <c r="K9" s="87"/>
      <c r="L9" s="87"/>
      <c r="M9" s="87"/>
      <c r="N9" s="88" t="s">
        <v>36</v>
      </c>
      <c r="O9" s="88"/>
      <c r="P9" s="88"/>
      <c r="Q9" s="88"/>
      <c r="R9" s="88"/>
      <c r="S9" s="88"/>
      <c r="T9" s="88"/>
      <c r="U9" s="88"/>
      <c r="V9" s="89" t="s">
        <v>42</v>
      </c>
      <c r="W9" s="89"/>
      <c r="X9" s="89"/>
      <c r="Y9" s="89"/>
      <c r="Z9" s="90" t="s">
        <v>45</v>
      </c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89">
        <v>2</v>
      </c>
      <c r="AS9" s="89"/>
      <c r="AT9" s="89"/>
      <c r="AU9" s="89"/>
      <c r="AV9" s="89"/>
      <c r="AW9" s="89"/>
      <c r="AX9" s="91">
        <v>48400</v>
      </c>
      <c r="AY9" s="92"/>
      <c r="AZ9" s="92"/>
      <c r="BA9" s="92"/>
      <c r="BB9" s="91">
        <f t="shared" si="0"/>
        <v>96800</v>
      </c>
      <c r="BC9" s="91"/>
      <c r="BD9" s="91"/>
      <c r="BE9" s="91"/>
      <c r="BF9" s="93">
        <v>10</v>
      </c>
      <c r="BG9" s="93"/>
      <c r="BH9" s="91">
        <f t="shared" si="1"/>
        <v>9680</v>
      </c>
      <c r="BI9" s="91"/>
      <c r="BJ9" s="91"/>
      <c r="BK9" s="91"/>
      <c r="BL9" s="94" t="s">
        <v>50</v>
      </c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50"/>
      <c r="BZ9" s="50"/>
      <c r="CH9" s="50"/>
      <c r="CI9" s="50"/>
      <c r="CJ9" s="50"/>
      <c r="CK9" s="50"/>
      <c r="CL9" s="50"/>
      <c r="CM9" s="50"/>
      <c r="CN9" s="50"/>
    </row>
    <row r="10" spans="1:92" ht="58.5" customHeight="1">
      <c r="A10" s="50"/>
      <c r="B10" s="86">
        <v>5</v>
      </c>
      <c r="C10" s="86"/>
      <c r="D10" s="87" t="s">
        <v>30</v>
      </c>
      <c r="E10" s="87"/>
      <c r="F10" s="87"/>
      <c r="G10" s="87"/>
      <c r="H10" s="87"/>
      <c r="I10" s="87"/>
      <c r="J10" s="87"/>
      <c r="K10" s="87"/>
      <c r="L10" s="87"/>
      <c r="M10" s="87"/>
      <c r="N10" s="88" t="s">
        <v>37</v>
      </c>
      <c r="O10" s="88"/>
      <c r="P10" s="88"/>
      <c r="Q10" s="88"/>
      <c r="R10" s="88"/>
      <c r="S10" s="88"/>
      <c r="T10" s="88"/>
      <c r="U10" s="88"/>
      <c r="V10" s="89" t="s">
        <v>41</v>
      </c>
      <c r="W10" s="89"/>
      <c r="X10" s="89"/>
      <c r="Y10" s="89"/>
      <c r="Z10" s="90" t="s">
        <v>46</v>
      </c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89">
        <v>2</v>
      </c>
      <c r="AS10" s="89"/>
      <c r="AT10" s="89"/>
      <c r="AU10" s="89"/>
      <c r="AV10" s="89"/>
      <c r="AW10" s="89"/>
      <c r="AX10" s="91">
        <v>74000</v>
      </c>
      <c r="AY10" s="92"/>
      <c r="AZ10" s="92"/>
      <c r="BA10" s="92"/>
      <c r="BB10" s="91">
        <f t="shared" si="0"/>
        <v>148000</v>
      </c>
      <c r="BC10" s="91"/>
      <c r="BD10" s="91"/>
      <c r="BE10" s="91"/>
      <c r="BF10" s="93">
        <v>10</v>
      </c>
      <c r="BG10" s="93"/>
      <c r="BH10" s="91">
        <f t="shared" si="1"/>
        <v>14800</v>
      </c>
      <c r="BI10" s="91"/>
      <c r="BJ10" s="91"/>
      <c r="BK10" s="91"/>
      <c r="BL10" s="94" t="s">
        <v>51</v>
      </c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50"/>
      <c r="BZ10" s="50"/>
      <c r="CH10" s="50"/>
      <c r="CI10" s="50"/>
      <c r="CJ10" s="50"/>
      <c r="CK10" s="50"/>
      <c r="CL10" s="50"/>
      <c r="CM10" s="50"/>
      <c r="CN10" s="50"/>
    </row>
    <row r="11" spans="1:92" ht="58.5" customHeight="1">
      <c r="A11" s="50"/>
      <c r="B11" s="86">
        <v>6</v>
      </c>
      <c r="C11" s="86"/>
      <c r="D11" s="87" t="s">
        <v>31</v>
      </c>
      <c r="E11" s="87"/>
      <c r="F11" s="87"/>
      <c r="G11" s="87"/>
      <c r="H11" s="87"/>
      <c r="I11" s="87"/>
      <c r="J11" s="87"/>
      <c r="K11" s="87"/>
      <c r="L11" s="87"/>
      <c r="M11" s="87"/>
      <c r="N11" s="88" t="s">
        <v>38</v>
      </c>
      <c r="O11" s="88"/>
      <c r="P11" s="88"/>
      <c r="Q11" s="88"/>
      <c r="R11" s="88"/>
      <c r="S11" s="88"/>
      <c r="T11" s="88"/>
      <c r="U11" s="88"/>
      <c r="V11" s="89"/>
      <c r="W11" s="89"/>
      <c r="X11" s="89"/>
      <c r="Y11" s="89"/>
      <c r="Z11" s="90" t="s">
        <v>47</v>
      </c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89">
        <v>1</v>
      </c>
      <c r="AS11" s="89"/>
      <c r="AT11" s="89"/>
      <c r="AU11" s="89"/>
      <c r="AV11" s="89"/>
      <c r="AW11" s="89"/>
      <c r="AX11" s="91">
        <v>43800</v>
      </c>
      <c r="AY11" s="92"/>
      <c r="AZ11" s="92"/>
      <c r="BA11" s="92"/>
      <c r="BB11" s="91">
        <f t="shared" si="0"/>
        <v>43800</v>
      </c>
      <c r="BC11" s="91"/>
      <c r="BD11" s="91"/>
      <c r="BE11" s="91"/>
      <c r="BF11" s="93">
        <v>10</v>
      </c>
      <c r="BG11" s="93"/>
      <c r="BH11" s="91">
        <f t="shared" si="1"/>
        <v>4380</v>
      </c>
      <c r="BI11" s="91"/>
      <c r="BJ11" s="91"/>
      <c r="BK11" s="91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50"/>
      <c r="BZ11" s="50"/>
      <c r="CH11" s="50"/>
      <c r="CI11" s="50"/>
      <c r="CJ11" s="50"/>
      <c r="CK11" s="50"/>
      <c r="CL11" s="50"/>
      <c r="CM11" s="50"/>
      <c r="CN11" s="50"/>
    </row>
    <row r="12" spans="1:92" ht="58.5" customHeight="1">
      <c r="A12" s="50"/>
      <c r="B12" s="86">
        <v>7</v>
      </c>
      <c r="C12" s="86"/>
      <c r="D12" s="87" t="s">
        <v>32</v>
      </c>
      <c r="E12" s="87"/>
      <c r="F12" s="87"/>
      <c r="G12" s="87"/>
      <c r="H12" s="87"/>
      <c r="I12" s="87"/>
      <c r="J12" s="87"/>
      <c r="K12" s="87"/>
      <c r="L12" s="87"/>
      <c r="M12" s="87"/>
      <c r="N12" s="88" t="s">
        <v>39</v>
      </c>
      <c r="O12" s="88"/>
      <c r="P12" s="88"/>
      <c r="Q12" s="88"/>
      <c r="R12" s="88"/>
      <c r="S12" s="88"/>
      <c r="T12" s="88"/>
      <c r="U12" s="88"/>
      <c r="V12" s="89"/>
      <c r="W12" s="89"/>
      <c r="X12" s="89"/>
      <c r="Y12" s="89"/>
      <c r="Z12" s="90" t="s">
        <v>48</v>
      </c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89">
        <v>3</v>
      </c>
      <c r="AS12" s="89"/>
      <c r="AT12" s="89"/>
      <c r="AU12" s="89"/>
      <c r="AV12" s="89"/>
      <c r="AW12" s="89"/>
      <c r="AX12" s="91">
        <v>38800</v>
      </c>
      <c r="AY12" s="92"/>
      <c r="AZ12" s="92"/>
      <c r="BA12" s="92"/>
      <c r="BB12" s="91">
        <f t="shared" si="0"/>
        <v>116400</v>
      </c>
      <c r="BC12" s="91"/>
      <c r="BD12" s="91"/>
      <c r="BE12" s="91"/>
      <c r="BF12" s="93">
        <v>10</v>
      </c>
      <c r="BG12" s="93"/>
      <c r="BH12" s="91">
        <f t="shared" si="1"/>
        <v>11640</v>
      </c>
      <c r="BI12" s="91"/>
      <c r="BJ12" s="91"/>
      <c r="BK12" s="91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50"/>
      <c r="BZ12" s="50"/>
      <c r="CH12" s="50"/>
      <c r="CI12" s="50"/>
      <c r="CJ12" s="50"/>
      <c r="CK12" s="50"/>
      <c r="CL12" s="50"/>
      <c r="CM12" s="50"/>
      <c r="CN12" s="50"/>
    </row>
    <row r="13" spans="1:92" ht="58.5" customHeight="1">
      <c r="A13" s="50"/>
      <c r="B13" s="86">
        <v>8</v>
      </c>
      <c r="C13" s="86"/>
      <c r="D13" s="87" t="s">
        <v>33</v>
      </c>
      <c r="E13" s="87"/>
      <c r="F13" s="87"/>
      <c r="G13" s="87"/>
      <c r="H13" s="87"/>
      <c r="I13" s="87"/>
      <c r="J13" s="87"/>
      <c r="K13" s="87"/>
      <c r="L13" s="87"/>
      <c r="M13" s="87"/>
      <c r="N13" s="88" t="s">
        <v>40</v>
      </c>
      <c r="O13" s="88"/>
      <c r="P13" s="88"/>
      <c r="Q13" s="88"/>
      <c r="R13" s="88"/>
      <c r="S13" s="88"/>
      <c r="T13" s="88"/>
      <c r="U13" s="88"/>
      <c r="V13" s="89" t="s">
        <v>41</v>
      </c>
      <c r="W13" s="89"/>
      <c r="X13" s="89"/>
      <c r="Y13" s="89"/>
      <c r="Z13" s="90" t="s">
        <v>49</v>
      </c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89">
        <v>3</v>
      </c>
      <c r="AS13" s="89"/>
      <c r="AT13" s="89"/>
      <c r="AU13" s="89"/>
      <c r="AV13" s="89"/>
      <c r="AW13" s="89"/>
      <c r="AX13" s="91">
        <v>77500</v>
      </c>
      <c r="AY13" s="92"/>
      <c r="AZ13" s="92"/>
      <c r="BA13" s="92"/>
      <c r="BB13" s="91">
        <f t="shared" si="0"/>
        <v>232500</v>
      </c>
      <c r="BC13" s="91"/>
      <c r="BD13" s="91"/>
      <c r="BE13" s="91"/>
      <c r="BF13" s="93">
        <v>10</v>
      </c>
      <c r="BG13" s="93"/>
      <c r="BH13" s="91">
        <f t="shared" si="1"/>
        <v>23250</v>
      </c>
      <c r="BI13" s="91"/>
      <c r="BJ13" s="91"/>
      <c r="BK13" s="91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50"/>
      <c r="BZ13" s="50"/>
      <c r="CH13" s="50"/>
      <c r="CI13" s="50"/>
      <c r="CJ13" s="50"/>
      <c r="CK13" s="50"/>
      <c r="CL13" s="50"/>
      <c r="CM13" s="50"/>
      <c r="CN13" s="50"/>
    </row>
    <row r="14" spans="1:92" ht="9.75" customHeight="1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5"/>
      <c r="AB14" s="55"/>
      <c r="AC14" s="55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9"/>
      <c r="AY14" s="59"/>
      <c r="AZ14" s="59"/>
      <c r="BA14" s="65"/>
      <c r="BB14" s="65"/>
      <c r="BC14" s="65"/>
      <c r="BD14" s="65"/>
      <c r="BE14" s="62"/>
      <c r="BF14" s="62"/>
      <c r="BG14" s="62"/>
      <c r="BH14" s="65"/>
      <c r="BI14" s="65"/>
      <c r="BJ14" s="65"/>
      <c r="BK14" s="65"/>
      <c r="BL14" s="65"/>
      <c r="BM14" s="65"/>
      <c r="BN14" s="65"/>
      <c r="BO14" s="65"/>
      <c r="BP14" s="70"/>
      <c r="BQ14" s="70"/>
      <c r="BR14" s="70"/>
      <c r="BS14" s="70"/>
      <c r="BT14" s="70"/>
      <c r="BU14" s="70"/>
      <c r="BV14" s="70"/>
      <c r="BW14" s="50"/>
      <c r="BX14" s="50"/>
      <c r="BY14" s="50"/>
      <c r="BZ14" s="50"/>
      <c r="CH14" s="50"/>
      <c r="CI14" s="50"/>
      <c r="CJ14" s="50"/>
      <c r="CK14" s="50"/>
      <c r="CL14" s="50"/>
      <c r="CM14" s="50"/>
      <c r="CN14" s="50"/>
    </row>
    <row r="15" spans="1:92" ht="29.25" customHeight="1">
      <c r="A15" s="50"/>
      <c r="B15" s="52" t="s">
        <v>26</v>
      </c>
      <c r="C15" s="50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5"/>
      <c r="AB15" s="55"/>
      <c r="AC15" s="55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8"/>
      <c r="AP15" s="58"/>
      <c r="AQ15" s="50"/>
      <c r="AR15" s="50"/>
      <c r="AS15" s="50"/>
      <c r="AT15" s="59"/>
      <c r="AU15" s="59"/>
      <c r="AV15" s="60" t="s">
        <v>25</v>
      </c>
      <c r="AW15" s="60"/>
      <c r="AX15" s="60"/>
      <c r="AY15" s="60"/>
      <c r="AZ15" s="50"/>
      <c r="BA15" s="83">
        <f>SUM(BB:BE)</f>
        <v>1102700</v>
      </c>
      <c r="BB15" s="77"/>
      <c r="BC15" s="77"/>
      <c r="BD15" s="77"/>
      <c r="BE15" s="77"/>
      <c r="BF15" s="62"/>
      <c r="BG15" s="62"/>
      <c r="BH15" s="60"/>
      <c r="BI15" s="60"/>
      <c r="BJ15" s="60"/>
      <c r="BK15" s="60"/>
      <c r="BL15" s="60"/>
      <c r="BM15" s="60"/>
      <c r="BN15" s="60"/>
      <c r="BO15" s="60"/>
      <c r="BP15" s="62"/>
      <c r="BQ15" s="83"/>
      <c r="BR15" s="77"/>
      <c r="BS15" s="77"/>
      <c r="BT15" s="77"/>
      <c r="BU15" s="77"/>
      <c r="BV15" s="77"/>
      <c r="BW15" s="50"/>
      <c r="BX15" s="50"/>
      <c r="BY15" s="50"/>
      <c r="BZ15" s="49"/>
      <c r="CA15" s="84" t="s">
        <v>24</v>
      </c>
      <c r="CB15" s="85"/>
      <c r="CC15" s="84" t="s">
        <v>23</v>
      </c>
      <c r="CD15" s="85"/>
      <c r="CE15" s="84"/>
      <c r="CF15" s="85"/>
      <c r="CG15" s="74"/>
      <c r="CH15" s="49"/>
      <c r="CI15" s="50"/>
      <c r="CJ15" s="50"/>
      <c r="CK15" s="50"/>
      <c r="CL15" s="50"/>
      <c r="CM15" s="50"/>
      <c r="CN15" s="50"/>
    </row>
    <row r="16" spans="1:92" ht="29.25" customHeight="1">
      <c r="A16" s="50"/>
      <c r="B16" s="105" t="s">
        <v>198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56"/>
      <c r="AM16" s="57" t="s">
        <v>22</v>
      </c>
      <c r="AN16" s="57"/>
      <c r="AO16" s="61"/>
      <c r="AP16" s="62"/>
      <c r="AQ16" s="102" t="s">
        <v>20</v>
      </c>
      <c r="AR16" s="103"/>
      <c r="AS16" s="103"/>
      <c r="AT16" s="104"/>
      <c r="AU16" s="59"/>
      <c r="AV16" s="60" t="s">
        <v>21</v>
      </c>
      <c r="AW16" s="60"/>
      <c r="AX16" s="60"/>
      <c r="AY16" s="60"/>
      <c r="AZ16" s="50"/>
      <c r="BA16" s="100">
        <f>IFERROR(IF(CC20*CF16&lt;10000,CEILING(CC20*CF16,10),CEILING(CC20*CF16,100)),"別途御見積")</f>
        <v>88300</v>
      </c>
      <c r="BB16" s="101"/>
      <c r="BC16" s="101"/>
      <c r="BD16" s="101"/>
      <c r="BE16" s="101"/>
      <c r="BF16" s="62"/>
      <c r="BG16" s="62"/>
      <c r="BH16" s="50"/>
      <c r="BI16" s="68"/>
      <c r="BJ16" s="60"/>
      <c r="BK16" s="60"/>
      <c r="BL16" s="50"/>
      <c r="BM16" s="68"/>
      <c r="BN16" s="68"/>
      <c r="BO16" s="68"/>
      <c r="BP16" s="68"/>
      <c r="BQ16" s="83"/>
      <c r="BR16" s="77"/>
      <c r="BS16" s="77"/>
      <c r="BT16" s="77"/>
      <c r="BU16" s="77"/>
      <c r="BV16" s="77"/>
      <c r="BW16" s="50"/>
      <c r="BX16" s="50"/>
      <c r="BY16" s="50"/>
      <c r="BZ16" s="50"/>
      <c r="CA16" s="95" t="s">
        <v>20</v>
      </c>
      <c r="CB16" s="96"/>
      <c r="CC16" s="82">
        <v>0.08</v>
      </c>
      <c r="CD16" s="82"/>
      <c r="CE16" s="74"/>
      <c r="CF16" s="82">
        <f>VLOOKUP(AQ16,CA16:CD19,3,FALSE)</f>
        <v>0.08</v>
      </c>
      <c r="CG16" s="82"/>
      <c r="CH16" s="50"/>
      <c r="CI16" s="50"/>
      <c r="CJ16" s="50"/>
      <c r="CK16" s="50"/>
      <c r="CL16" s="50"/>
      <c r="CM16" s="50"/>
      <c r="CN16" s="50"/>
    </row>
    <row r="17" spans="1:92" ht="29.25" customHeight="1">
      <c r="A17" s="50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56"/>
      <c r="AM17" s="56"/>
      <c r="AN17" s="56"/>
      <c r="AO17" s="58"/>
      <c r="AP17" s="58"/>
      <c r="AQ17" s="50"/>
      <c r="AR17" s="50"/>
      <c r="AS17" s="50"/>
      <c r="AT17" s="59"/>
      <c r="AU17" s="59"/>
      <c r="AV17" s="60" t="s">
        <v>193</v>
      </c>
      <c r="AW17" s="60"/>
      <c r="AX17" s="60"/>
      <c r="AY17" s="60"/>
      <c r="AZ17" s="50"/>
      <c r="BA17" s="83">
        <f>IFERROR(IF(CC20*CC21&lt;10000,CEILING(CC20*CC21,10),CEILING(CC20*CC21,100)),"別途御見積")</f>
        <v>88300</v>
      </c>
      <c r="BB17" s="77"/>
      <c r="BC17" s="77"/>
      <c r="BD17" s="77"/>
      <c r="BE17" s="77"/>
      <c r="BF17" s="62"/>
      <c r="BG17" s="62"/>
      <c r="BH17" s="50"/>
      <c r="BI17" s="68"/>
      <c r="BJ17" s="60"/>
      <c r="BK17" s="60"/>
      <c r="BL17" s="50"/>
      <c r="BM17" s="68"/>
      <c r="BN17" s="68"/>
      <c r="BO17" s="68"/>
      <c r="BP17" s="68"/>
      <c r="BQ17" s="66"/>
      <c r="BW17" s="50"/>
      <c r="BX17" s="50"/>
      <c r="BY17" s="50"/>
      <c r="BZ17" s="50"/>
      <c r="CA17" s="95" t="s">
        <v>19</v>
      </c>
      <c r="CB17" s="96"/>
      <c r="CC17" s="82">
        <v>0.11</v>
      </c>
      <c r="CD17" s="82"/>
      <c r="CE17" s="74"/>
      <c r="CF17" s="74"/>
      <c r="CG17" s="75"/>
      <c r="CH17" s="50"/>
      <c r="CI17" s="50"/>
      <c r="CJ17" s="50"/>
      <c r="CK17" s="50"/>
      <c r="CL17" s="50"/>
      <c r="CM17" s="50"/>
      <c r="CN17" s="50"/>
    </row>
    <row r="18" spans="1:92" ht="29.25" customHeight="1">
      <c r="A18" s="50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56"/>
      <c r="AM18" s="56"/>
      <c r="AN18" s="56"/>
      <c r="AO18" s="58"/>
      <c r="AP18" s="58"/>
      <c r="AQ18" s="50"/>
      <c r="AR18" s="50"/>
      <c r="AS18" s="50"/>
      <c r="AT18" s="59"/>
      <c r="AU18" s="59"/>
      <c r="AV18" s="60" t="s">
        <v>194</v>
      </c>
      <c r="AW18" s="60"/>
      <c r="AX18" s="60"/>
      <c r="AY18" s="60"/>
      <c r="AZ18" s="50"/>
      <c r="BA18" s="83">
        <f>IF(ISTEXT(BA16),"別途御見積",SUM(BA15:BE17))</f>
        <v>1279300</v>
      </c>
      <c r="BB18" s="77"/>
      <c r="BC18" s="77"/>
      <c r="BD18" s="77"/>
      <c r="BE18" s="77"/>
      <c r="BF18" s="62"/>
      <c r="BG18" s="62"/>
      <c r="BH18" s="50"/>
      <c r="BI18" s="68"/>
      <c r="BJ18" s="60"/>
      <c r="BK18" s="60"/>
      <c r="BL18" s="50"/>
      <c r="BM18" s="68"/>
      <c r="BN18" s="68"/>
      <c r="BO18" s="68"/>
      <c r="BP18" s="68"/>
      <c r="BQ18" s="66"/>
      <c r="BW18" s="50"/>
      <c r="BX18" s="50"/>
      <c r="BY18" s="50"/>
      <c r="BZ18" s="50"/>
      <c r="CA18" s="95" t="s">
        <v>18</v>
      </c>
      <c r="CB18" s="96"/>
      <c r="CC18" s="97" t="s">
        <v>17</v>
      </c>
      <c r="CD18" s="97"/>
      <c r="CE18" s="74"/>
      <c r="CF18" s="74"/>
      <c r="CG18" s="75"/>
      <c r="CH18" s="50"/>
      <c r="CI18" s="50"/>
      <c r="CJ18" s="50"/>
      <c r="CK18" s="50"/>
      <c r="CL18" s="50"/>
      <c r="CM18" s="50"/>
      <c r="CN18" s="50"/>
    </row>
    <row r="19" spans="1:92" ht="29.25" customHeight="1">
      <c r="A19" s="50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56"/>
      <c r="AM19" s="56"/>
      <c r="AN19" s="56"/>
      <c r="AO19" s="58"/>
      <c r="AP19" s="58"/>
      <c r="AQ19" s="50"/>
      <c r="AR19" s="50"/>
      <c r="AS19" s="50"/>
      <c r="AT19" s="59"/>
      <c r="AU19" s="59"/>
      <c r="AV19" s="60" t="s">
        <v>195</v>
      </c>
      <c r="AW19" s="60"/>
      <c r="AX19" s="60"/>
      <c r="AY19" s="60"/>
      <c r="AZ19" s="50"/>
      <c r="BA19" s="98">
        <f>IFERROR(SUM(BH:BK)+(BA16+BA17)*0.1,"別途御見積")</f>
        <v>127930</v>
      </c>
      <c r="BB19" s="99"/>
      <c r="BC19" s="99"/>
      <c r="BD19" s="99"/>
      <c r="BE19" s="99"/>
      <c r="BF19" s="62"/>
      <c r="BG19" s="62"/>
      <c r="BH19" s="60"/>
      <c r="BI19" s="60"/>
      <c r="BJ19" s="60"/>
      <c r="BK19" s="60"/>
      <c r="BL19" s="60"/>
      <c r="BM19" s="60"/>
      <c r="BN19" s="60"/>
      <c r="BO19" s="60"/>
      <c r="BP19" s="62"/>
      <c r="BQ19" s="83"/>
      <c r="BR19" s="77"/>
      <c r="BS19" s="77"/>
      <c r="BT19" s="77"/>
      <c r="BU19" s="77"/>
      <c r="BV19" s="77"/>
      <c r="BW19" s="50"/>
      <c r="BX19" s="50"/>
      <c r="BY19" s="50"/>
      <c r="BZ19" s="50"/>
      <c r="CA19" s="95"/>
      <c r="CB19" s="96"/>
      <c r="CC19" s="97"/>
      <c r="CD19" s="97"/>
      <c r="CE19" s="74"/>
      <c r="CF19" s="74"/>
      <c r="CG19" s="75"/>
      <c r="CH19" s="50"/>
      <c r="CI19" s="50"/>
      <c r="CJ19" s="50"/>
      <c r="CK19" s="50"/>
      <c r="CL19" s="50"/>
      <c r="CM19" s="50"/>
      <c r="CN19" s="50"/>
    </row>
    <row r="20" spans="1:92" ht="29.25" customHeight="1">
      <c r="A20" s="50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56"/>
      <c r="AM20" s="56"/>
      <c r="AN20" s="56"/>
      <c r="AO20" s="56"/>
      <c r="AP20" s="56"/>
      <c r="AQ20" s="56"/>
      <c r="AR20" s="56"/>
      <c r="AS20" s="58"/>
      <c r="AT20" s="58"/>
      <c r="AU20" s="50"/>
      <c r="AV20" s="60" t="s">
        <v>196</v>
      </c>
      <c r="AW20" s="47"/>
      <c r="AX20" s="47"/>
      <c r="AY20" s="47"/>
      <c r="AZ20" s="47"/>
      <c r="BA20" s="98">
        <f>IF(ISTEXT(BA18),"別途御見積",SUM(BA18:BE19))</f>
        <v>1407230</v>
      </c>
      <c r="BB20" s="99"/>
      <c r="BC20" s="99"/>
      <c r="BD20" s="99"/>
      <c r="BE20" s="99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50"/>
      <c r="BX20" s="50"/>
      <c r="BY20" s="50"/>
      <c r="BZ20" s="50"/>
      <c r="CA20" s="80" t="s">
        <v>197</v>
      </c>
      <c r="CB20" s="80"/>
      <c r="CC20" s="81">
        <v>1102700</v>
      </c>
      <c r="CD20" s="81"/>
      <c r="CE20" s="81"/>
      <c r="CF20" s="81"/>
      <c r="CG20" s="81"/>
      <c r="CH20" s="50"/>
      <c r="CI20" s="50"/>
      <c r="CJ20" s="50"/>
      <c r="CK20" s="50"/>
      <c r="CL20" s="50"/>
      <c r="CM20" s="50"/>
      <c r="CN20" s="50"/>
    </row>
    <row r="21" spans="1:92" ht="25.5" customHeight="1">
      <c r="A21" s="50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6"/>
      <c r="AM21" s="56"/>
      <c r="AN21" s="56"/>
      <c r="AO21" s="58"/>
      <c r="AP21" s="58"/>
      <c r="AQ21" s="50"/>
      <c r="AR21" s="50"/>
      <c r="AS21" s="50"/>
      <c r="AT21" s="59"/>
      <c r="AU21" s="59"/>
      <c r="AV21" s="63" t="str">
        <f>IF(AQ16="離島","※離島の場合は運賃が異なりますので、別途お問い合わせください。","")</f>
        <v/>
      </c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47"/>
      <c r="BW21" s="50"/>
      <c r="BX21" s="50"/>
      <c r="BY21" s="50"/>
      <c r="BZ21" s="50"/>
      <c r="CA21" s="80" t="s">
        <v>193</v>
      </c>
      <c r="CB21" s="80"/>
      <c r="CC21" s="82">
        <v>0.08</v>
      </c>
      <c r="CD21" s="82"/>
      <c r="CH21" s="50"/>
      <c r="CI21" s="50"/>
      <c r="CJ21" s="50"/>
      <c r="CK21" s="50"/>
      <c r="CL21" s="50"/>
      <c r="CM21" s="50"/>
      <c r="CN21" s="50"/>
    </row>
    <row r="22" spans="1:92" ht="15.75" customHeight="1">
      <c r="AV22" s="50"/>
      <c r="AW22" s="50"/>
      <c r="AX22" s="59"/>
      <c r="AY22" s="59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47"/>
      <c r="BW22" s="50"/>
      <c r="BX22" s="50"/>
      <c r="BY22" s="50"/>
    </row>
    <row r="23" spans="1:92" ht="15.75" customHeight="1">
      <c r="AV23" s="60"/>
      <c r="AW23" s="60"/>
      <c r="AX23" s="60"/>
      <c r="AY23" s="60"/>
      <c r="AZ23" s="50"/>
      <c r="BA23" s="83"/>
      <c r="BB23" s="77"/>
      <c r="BC23" s="77"/>
      <c r="BD23" s="77"/>
      <c r="BE23" s="77"/>
      <c r="BF23" s="62"/>
      <c r="BG23" s="62"/>
      <c r="BH23" s="60"/>
      <c r="BI23" s="60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</row>
    <row r="24" spans="1:92" ht="15.75" customHeight="1"/>
    <row r="25" spans="1:92" ht="15.75" customHeight="1"/>
    <row r="26" spans="1:92" ht="15.75" customHeight="1"/>
    <row r="27" spans="1:92" ht="15.75" customHeight="1"/>
    <row r="28" spans="1:92" ht="15.75" customHeight="1"/>
    <row r="29" spans="1:92" ht="15.75" customHeight="1"/>
    <row r="30" spans="1:92" ht="15.75" customHeight="1"/>
    <row r="31" spans="1:92" ht="15.75" customHeight="1"/>
    <row r="32" spans="1:9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</sheetData>
  <mergeCells count="128">
    <mergeCell ref="B16:AK20"/>
    <mergeCell ref="B10:C10"/>
    <mergeCell ref="D10:M10"/>
    <mergeCell ref="N10:U10"/>
    <mergeCell ref="V10:Y10"/>
    <mergeCell ref="Z10:AQ10"/>
    <mergeCell ref="B11:C11"/>
    <mergeCell ref="D11:M11"/>
    <mergeCell ref="N11:U11"/>
    <mergeCell ref="V11:Y11"/>
    <mergeCell ref="Z11:AQ11"/>
    <mergeCell ref="BF8:BG8"/>
    <mergeCell ref="BL12:BX12"/>
    <mergeCell ref="B13:C13"/>
    <mergeCell ref="D13:M13"/>
    <mergeCell ref="N13:U13"/>
    <mergeCell ref="V13:Y13"/>
    <mergeCell ref="Z13:AQ13"/>
    <mergeCell ref="AR13:AW13"/>
    <mergeCell ref="AX13:BA13"/>
    <mergeCell ref="BB13:BE13"/>
    <mergeCell ref="BF13:BG13"/>
    <mergeCell ref="BH13:BK13"/>
    <mergeCell ref="BL13:BX13"/>
    <mergeCell ref="AR12:AW12"/>
    <mergeCell ref="AX12:BA12"/>
    <mergeCell ref="BB12:BE12"/>
    <mergeCell ref="BF12:BG12"/>
    <mergeCell ref="BH12:BK12"/>
    <mergeCell ref="B12:C12"/>
    <mergeCell ref="D12:M12"/>
    <mergeCell ref="N12:U12"/>
    <mergeCell ref="V12:Y12"/>
    <mergeCell ref="Z12:AQ12"/>
    <mergeCell ref="BH10:BK10"/>
    <mergeCell ref="BA23:BE23"/>
    <mergeCell ref="BA20:BE20"/>
    <mergeCell ref="AQ16:AT16"/>
    <mergeCell ref="BA15:BE15"/>
    <mergeCell ref="AR11:AW11"/>
    <mergeCell ref="AX11:BA11"/>
    <mergeCell ref="BB11:BE11"/>
    <mergeCell ref="BF11:BG11"/>
    <mergeCell ref="B7:C7"/>
    <mergeCell ref="D7:M7"/>
    <mergeCell ref="N7:U7"/>
    <mergeCell ref="V7:Y7"/>
    <mergeCell ref="Z7:AQ7"/>
    <mergeCell ref="AR7:AW7"/>
    <mergeCell ref="AX7:BA7"/>
    <mergeCell ref="BB7:BE7"/>
    <mergeCell ref="B9:C9"/>
    <mergeCell ref="D9:M9"/>
    <mergeCell ref="N9:U9"/>
    <mergeCell ref="V9:Y9"/>
    <mergeCell ref="Z9:AQ9"/>
    <mergeCell ref="AR9:AW9"/>
    <mergeCell ref="AX9:BA9"/>
    <mergeCell ref="BB9:BE9"/>
    <mergeCell ref="B8:C8"/>
    <mergeCell ref="D8:M8"/>
    <mergeCell ref="N8:U8"/>
    <mergeCell ref="V8:Y8"/>
    <mergeCell ref="Z8:AQ8"/>
    <mergeCell ref="AR8:AW8"/>
    <mergeCell ref="AX8:BA8"/>
    <mergeCell ref="BB8:BE8"/>
    <mergeCell ref="CA19:CB19"/>
    <mergeCell ref="CC19:CD19"/>
    <mergeCell ref="BA18:BE18"/>
    <mergeCell ref="CF16:CG16"/>
    <mergeCell ref="BA19:BE19"/>
    <mergeCell ref="BQ19:BV19"/>
    <mergeCell ref="CA17:CB17"/>
    <mergeCell ref="CC17:CD17"/>
    <mergeCell ref="BA17:BE17"/>
    <mergeCell ref="BA16:BE16"/>
    <mergeCell ref="BQ16:BV16"/>
    <mergeCell ref="CA16:CB16"/>
    <mergeCell ref="CC16:CD16"/>
    <mergeCell ref="BH6:BK6"/>
    <mergeCell ref="BL6:BX6"/>
    <mergeCell ref="Z5:AQ5"/>
    <mergeCell ref="AR5:AW5"/>
    <mergeCell ref="AX5:BA5"/>
    <mergeCell ref="BB5:BE5"/>
    <mergeCell ref="BF5:BG5"/>
    <mergeCell ref="CA18:CB18"/>
    <mergeCell ref="CC18:CD18"/>
    <mergeCell ref="BF9:BG9"/>
    <mergeCell ref="BH9:BK9"/>
    <mergeCell ref="BL9:BX9"/>
    <mergeCell ref="BF7:BG7"/>
    <mergeCell ref="BH7:BK7"/>
    <mergeCell ref="BL7:BX7"/>
    <mergeCell ref="BH11:BK11"/>
    <mergeCell ref="BL11:BX11"/>
    <mergeCell ref="BH8:BK8"/>
    <mergeCell ref="BL8:BX8"/>
    <mergeCell ref="BL10:BX10"/>
    <mergeCell ref="AR10:AW10"/>
    <mergeCell ref="AX10:BA10"/>
    <mergeCell ref="BB10:BE10"/>
    <mergeCell ref="BF10:BG10"/>
    <mergeCell ref="B3:I3"/>
    <mergeCell ref="B5:C5"/>
    <mergeCell ref="D5:M5"/>
    <mergeCell ref="N5:U5"/>
    <mergeCell ref="V5:Y5"/>
    <mergeCell ref="CA20:CB20"/>
    <mergeCell ref="CC20:CG20"/>
    <mergeCell ref="CA21:CB21"/>
    <mergeCell ref="CC21:CD21"/>
    <mergeCell ref="BQ15:BV15"/>
    <mergeCell ref="CA15:CB15"/>
    <mergeCell ref="CC15:CD15"/>
    <mergeCell ref="CE15:CF15"/>
    <mergeCell ref="BH5:BK5"/>
    <mergeCell ref="BL5:BX5"/>
    <mergeCell ref="B6:C6"/>
    <mergeCell ref="D6:M6"/>
    <mergeCell ref="N6:U6"/>
    <mergeCell ref="V6:Y6"/>
    <mergeCell ref="Z6:AQ6"/>
    <mergeCell ref="AR6:AW6"/>
    <mergeCell ref="AX6:BA6"/>
    <mergeCell ref="BB6:BE6"/>
    <mergeCell ref="BF6:BG6"/>
  </mergeCells>
  <phoneticPr fontId="25"/>
  <dataValidations count="1">
    <dataValidation type="list" allowBlank="1" showInputMessage="1" showErrorMessage="1" sqref="AQ16:AT16" xr:uid="{00000000-0002-0000-0000-000000000000}">
      <formula1>"本州・四国・九州,北海道・沖縄,離島"</formula1>
    </dataValidation>
  </dataValidations>
  <printOptions horizontalCentered="1"/>
  <pageMargins left="0.19685039370078999" right="0.19685039370078999" top="0.19685039370078999" bottom="0.19685039370078999" header="0" footer="0"/>
  <pageSetup paperSize="9" scale="60" fitToHeight="0" orientation="landscape" r:id="rId1"/>
  <headerFooter>
    <oddHeader>&amp;R&amp;P/ページ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R21"/>
  <sheetViews>
    <sheetView workbookViewId="0">
      <pane xSplit="17" topLeftCell="R1" activePane="topRight" state="frozen"/>
      <selection pane="topRight" activeCell="BT6" sqref="BT6"/>
    </sheetView>
  </sheetViews>
  <sheetFormatPr defaultColWidth="14.33203125" defaultRowHeight="15" customHeight="1" outlineLevelCol="1"/>
  <cols>
    <col min="1" max="1" width="11.33203125" customWidth="1"/>
    <col min="2" max="5" width="16.33203125" hidden="1" customWidth="1" outlineLevel="1"/>
    <col min="6" max="6" width="14" hidden="1" customWidth="1" outlineLevel="1"/>
    <col min="7" max="7" width="13.1640625" customWidth="1" collapsed="1"/>
    <col min="8" max="9" width="13.1640625" customWidth="1"/>
    <col min="10" max="10" width="14" customWidth="1"/>
    <col min="11" max="12" width="11.83203125" customWidth="1"/>
    <col min="13" max="13" width="20.83203125" customWidth="1"/>
    <col min="14" max="14" width="12.33203125" customWidth="1" outlineLevel="1"/>
    <col min="15" max="15" width="12.83203125" customWidth="1" outlineLevel="1"/>
    <col min="16" max="16" width="20.1640625" customWidth="1"/>
    <col min="17" max="17" width="36.83203125" customWidth="1"/>
    <col min="18" max="18" width="15.1640625" customWidth="1"/>
    <col min="19" max="21" width="16.83203125" customWidth="1"/>
    <col min="22" max="48" width="16.83203125" hidden="1" customWidth="1" outlineLevel="1"/>
    <col min="49" max="49" width="16.83203125" customWidth="1" collapsed="1"/>
    <col min="50" max="50" width="10.1640625" customWidth="1"/>
    <col min="51" max="51" width="15.83203125" customWidth="1"/>
    <col min="52" max="52" width="22.1640625" hidden="1" customWidth="1" outlineLevel="1"/>
    <col min="53" max="53" width="18" customWidth="1" collapsed="1"/>
    <col min="54" max="54" width="11" customWidth="1"/>
    <col min="55" max="55" width="12.83203125" customWidth="1"/>
    <col min="56" max="56" width="15" customWidth="1"/>
    <col min="57" max="57" width="18" customWidth="1"/>
    <col min="58" max="59" width="16.83203125" hidden="1" customWidth="1" outlineLevel="1"/>
    <col min="60" max="60" width="18" hidden="1" customWidth="1" outlineLevel="1"/>
    <col min="61" max="61" width="20.83203125" customWidth="1" collapsed="1"/>
    <col min="62" max="62" width="14" customWidth="1"/>
    <col min="63" max="64" width="18" customWidth="1"/>
    <col min="65" max="65" width="12.83203125" customWidth="1" outlineLevel="1"/>
    <col min="66" max="66" width="16.83203125" customWidth="1" outlineLevel="1"/>
    <col min="67" max="67" width="14" customWidth="1" outlineLevel="1"/>
    <col min="68" max="68" width="19.1640625" customWidth="1" outlineLevel="1"/>
    <col min="69" max="69" width="23.1640625" customWidth="1"/>
    <col min="70" max="70" width="23.1640625" hidden="1" customWidth="1" outlineLevel="1"/>
    <col min="71" max="71" width="12.83203125" hidden="1" customWidth="1" outlineLevel="1"/>
    <col min="72" max="72" width="16.1640625" hidden="1" customWidth="1" outlineLevel="1"/>
    <col min="73" max="75" width="12.83203125" hidden="1" customWidth="1" outlineLevel="1"/>
    <col min="76" max="76" width="15.1640625" hidden="1" customWidth="1" outlineLevel="1"/>
    <col min="77" max="77" width="37.33203125" hidden="1" customWidth="1" outlineLevel="1"/>
    <col min="78" max="78" width="23.83203125" customWidth="1" collapsed="1"/>
    <col min="79" max="79" width="16.33203125" customWidth="1"/>
    <col min="80" max="80" width="20.1640625" customWidth="1"/>
    <col min="81" max="81" width="24.33203125" customWidth="1"/>
    <col min="82" max="82" width="31.1640625" customWidth="1"/>
    <col min="83" max="84" width="15.83203125" customWidth="1"/>
    <col min="85" max="86" width="20.83203125" customWidth="1"/>
    <col min="87" max="87" width="22.83203125" hidden="1" customWidth="1" outlineLevel="1"/>
    <col min="88" max="88" width="25.83203125" hidden="1" customWidth="1" outlineLevel="1"/>
    <col min="89" max="89" width="26.83203125" hidden="1" customWidth="1" outlineLevel="1"/>
    <col min="90" max="90" width="18" hidden="1" customWidth="1" outlineLevel="1"/>
    <col min="91" max="91" width="16.33203125" hidden="1" customWidth="1" outlineLevel="1"/>
    <col min="92" max="92" width="18" hidden="1" customWidth="1" outlineLevel="1"/>
    <col min="93" max="93" width="29.83203125" customWidth="1" collapsed="1"/>
    <col min="94" max="94" width="29.83203125" hidden="1" customWidth="1" outlineLevel="1"/>
    <col min="95" max="95" width="15.83203125" hidden="1" customWidth="1" outlineLevel="1"/>
    <col min="96" max="96" width="23.83203125" hidden="1" customWidth="1" outlineLevel="1"/>
    <col min="97" max="97" width="21" hidden="1" customWidth="1" outlineLevel="1"/>
    <col min="98" max="98" width="26.1640625" hidden="1" customWidth="1" outlineLevel="1"/>
    <col min="99" max="99" width="22" hidden="1" customWidth="1" outlineLevel="1"/>
    <col min="100" max="100" width="20.83203125" hidden="1" customWidth="1" outlineLevel="1"/>
    <col min="101" max="101" width="26.1640625" hidden="1" customWidth="1" outlineLevel="1"/>
    <col min="102" max="102" width="20.83203125" hidden="1" customWidth="1" outlineLevel="1"/>
    <col min="103" max="103" width="16.83203125" customWidth="1" collapsed="1"/>
    <col min="104" max="104" width="21.1640625" hidden="1" customWidth="1" outlineLevel="1"/>
    <col min="105" max="105" width="26.1640625" hidden="1" customWidth="1" outlineLevel="1"/>
    <col min="106" max="106" width="22.83203125" hidden="1" customWidth="1" outlineLevel="1"/>
    <col min="107" max="107" width="20" hidden="1" customWidth="1" outlineLevel="1"/>
    <col min="108" max="108" width="20.1640625" hidden="1" customWidth="1" outlineLevel="1"/>
    <col min="109" max="109" width="15" hidden="1" customWidth="1" outlineLevel="1"/>
    <col min="110" max="110" width="15" customWidth="1" collapsed="1"/>
    <col min="111" max="111" width="22.83203125" hidden="1" customWidth="1" outlineLevel="1"/>
    <col min="112" max="112" width="20" hidden="1" customWidth="1" outlineLevel="1"/>
    <col min="113" max="113" width="20.1640625" hidden="1" customWidth="1" outlineLevel="1"/>
    <col min="114" max="114" width="16.33203125" hidden="1" customWidth="1" outlineLevel="1"/>
    <col min="115" max="116" width="19.1640625" hidden="1" customWidth="1" outlineLevel="1"/>
    <col min="117" max="117" width="20.1640625" customWidth="1" collapsed="1"/>
    <col min="118" max="118" width="13.1640625" hidden="1" customWidth="1" outlineLevel="1"/>
    <col min="119" max="120" width="16.83203125" hidden="1" customWidth="1" outlineLevel="1"/>
    <col min="121" max="121" width="11" hidden="1" customWidth="1" outlineLevel="1"/>
    <col min="122" max="122" width="14.33203125" collapsed="1"/>
  </cols>
  <sheetData>
    <row r="1" spans="1:121" ht="28.5" customHeight="1">
      <c r="A1" s="1"/>
      <c r="B1" s="2"/>
      <c r="C1" s="2"/>
      <c r="D1" s="2"/>
      <c r="E1" s="2"/>
      <c r="F1" s="2"/>
      <c r="G1" s="3" t="s">
        <v>52</v>
      </c>
      <c r="H1" s="2"/>
      <c r="I1" s="2"/>
      <c r="J1" s="12"/>
      <c r="K1" s="1"/>
      <c r="L1" s="1"/>
      <c r="M1" s="1"/>
      <c r="N1" s="1"/>
      <c r="O1" s="1"/>
      <c r="P1" s="3" t="s">
        <v>53</v>
      </c>
      <c r="Q1" s="1"/>
      <c r="R1" s="1"/>
      <c r="S1" s="23" t="s">
        <v>54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" t="s">
        <v>55</v>
      </c>
      <c r="BB1" s="1"/>
      <c r="BC1" s="1"/>
      <c r="BD1" s="25"/>
      <c r="BE1" s="1"/>
      <c r="BF1" s="1"/>
      <c r="BG1" s="1"/>
      <c r="BH1" s="1"/>
      <c r="BI1" s="3" t="s">
        <v>56</v>
      </c>
      <c r="BJ1" s="1"/>
      <c r="BK1" s="1"/>
      <c r="BL1" s="1"/>
      <c r="BM1" s="1"/>
      <c r="BN1" s="1"/>
      <c r="BO1" s="38"/>
      <c r="BP1" s="1"/>
      <c r="BQ1" s="3" t="s">
        <v>57</v>
      </c>
      <c r="BR1" s="39"/>
      <c r="BS1" s="1"/>
      <c r="BT1" s="1"/>
      <c r="BU1" s="1"/>
      <c r="BV1" s="1"/>
      <c r="BW1" s="1"/>
      <c r="BX1" s="1"/>
      <c r="BY1" s="1"/>
      <c r="BZ1" s="3" t="s">
        <v>58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23" t="s">
        <v>59</v>
      </c>
      <c r="CP1" s="1"/>
      <c r="CQ1" s="1"/>
      <c r="CR1" s="1"/>
      <c r="CS1" s="1"/>
      <c r="CT1" s="1"/>
      <c r="CU1" s="1"/>
      <c r="CV1" s="1"/>
      <c r="CW1" s="1"/>
      <c r="CX1" s="1"/>
      <c r="CY1" s="23" t="s">
        <v>60</v>
      </c>
      <c r="CZ1" s="1"/>
      <c r="DA1" s="1"/>
      <c r="DB1" s="1"/>
      <c r="DC1" s="1"/>
      <c r="DD1" s="1"/>
      <c r="DE1" s="1"/>
      <c r="DF1" s="23" t="s">
        <v>61</v>
      </c>
      <c r="DG1" s="1"/>
      <c r="DH1" s="1"/>
      <c r="DI1" s="1"/>
      <c r="DJ1" s="1"/>
      <c r="DK1" s="1"/>
      <c r="DL1" s="1"/>
      <c r="DM1" s="23" t="s">
        <v>62</v>
      </c>
      <c r="DN1" s="2"/>
      <c r="DO1" s="1"/>
      <c r="DP1" s="1"/>
      <c r="DQ1" s="1"/>
    </row>
    <row r="2" spans="1:121" ht="12.75" customHeight="1">
      <c r="A2" s="4"/>
      <c r="B2" s="4"/>
      <c r="C2" s="4"/>
      <c r="D2" s="4"/>
      <c r="E2" s="4"/>
      <c r="F2" s="4"/>
      <c r="G2" s="4"/>
      <c r="H2" s="4"/>
      <c r="I2" s="4"/>
      <c r="J2" s="13" t="s">
        <v>63</v>
      </c>
      <c r="K2" s="14"/>
      <c r="L2" s="15"/>
      <c r="M2" s="4"/>
      <c r="N2" s="1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26"/>
      <c r="BE2" s="4"/>
      <c r="BF2" s="4"/>
      <c r="BG2" s="4"/>
      <c r="BH2" s="4"/>
      <c r="BI2" s="4"/>
      <c r="BJ2" s="4"/>
      <c r="BK2" s="4"/>
      <c r="BL2" s="4"/>
      <c r="BM2" s="4"/>
      <c r="BN2" s="4"/>
      <c r="BO2" s="29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1" ht="18.95" customHeight="1">
      <c r="A3" s="4"/>
      <c r="B3" s="4"/>
      <c r="C3" s="4"/>
      <c r="D3" s="4"/>
      <c r="E3" s="4"/>
      <c r="F3" s="4"/>
      <c r="G3" s="4"/>
      <c r="H3" s="4"/>
      <c r="I3" s="4"/>
      <c r="J3" s="13" t="s">
        <v>64</v>
      </c>
      <c r="K3" s="14"/>
      <c r="L3" s="1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26"/>
      <c r="BE3" s="4"/>
      <c r="BF3" s="4"/>
      <c r="BG3" s="4"/>
      <c r="BH3" s="4"/>
      <c r="BI3" s="4"/>
      <c r="BJ3" s="4"/>
      <c r="BK3" s="4"/>
      <c r="BL3" s="4"/>
      <c r="BM3" s="4"/>
      <c r="BN3" s="4"/>
      <c r="BO3" s="29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</row>
    <row r="4" spans="1:121" ht="12.75" customHeight="1">
      <c r="A4" s="4"/>
      <c r="B4" s="4"/>
      <c r="C4" s="4"/>
      <c r="D4" s="4"/>
      <c r="E4" s="4"/>
      <c r="F4" s="4"/>
      <c r="G4" s="4"/>
      <c r="H4" s="4"/>
      <c r="I4" s="4"/>
      <c r="J4" s="13" t="s">
        <v>65</v>
      </c>
      <c r="K4" s="14"/>
      <c r="L4" s="1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26"/>
      <c r="BE4" s="4"/>
      <c r="BF4" s="4"/>
      <c r="BG4" s="4"/>
      <c r="BH4" s="4"/>
      <c r="BI4" s="4"/>
      <c r="BJ4" s="4"/>
      <c r="BK4" s="4"/>
      <c r="BL4" s="4"/>
      <c r="BM4" s="4"/>
      <c r="BN4" s="4"/>
      <c r="BO4" s="29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</row>
    <row r="5" spans="1:121" ht="12.75" customHeight="1">
      <c r="A5" s="4"/>
      <c r="B5" s="4"/>
      <c r="C5" s="4"/>
      <c r="D5" s="4"/>
      <c r="E5" s="4"/>
      <c r="F5" s="4"/>
      <c r="G5" s="4"/>
      <c r="H5" s="4"/>
      <c r="I5" s="4"/>
      <c r="J5" s="13" t="s">
        <v>66</v>
      </c>
      <c r="K5" s="17"/>
      <c r="L5" s="1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26"/>
      <c r="BE5" s="4"/>
      <c r="BF5" s="4"/>
      <c r="BG5" s="4"/>
      <c r="BH5" s="4"/>
      <c r="BI5" s="4"/>
      <c r="BJ5" s="4"/>
      <c r="BK5" s="4"/>
      <c r="BL5" s="4"/>
      <c r="BM5" s="4"/>
      <c r="BN5" s="4"/>
      <c r="BO5" s="29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</row>
    <row r="6" spans="1:121" ht="12.75" customHeight="1">
      <c r="A6" s="4"/>
      <c r="B6" s="4"/>
      <c r="C6" s="4"/>
      <c r="D6" s="4"/>
      <c r="E6" s="4"/>
      <c r="F6" s="4"/>
      <c r="G6" s="4"/>
      <c r="H6" s="4"/>
      <c r="I6" s="4"/>
      <c r="J6" s="13" t="s">
        <v>67</v>
      </c>
      <c r="K6" s="14"/>
      <c r="L6" s="19"/>
      <c r="M6" s="1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27">
        <f ca="1">SUBTOTAL(9,INDIRECT("BA"&amp;9):INDIRECT("BA"&amp;5000))</f>
        <v>0</v>
      </c>
      <c r="BB6" s="28">
        <f ca="1">IF(BA6=0,0,ROUND((BC6/BA6)*100,2))</f>
        <v>0</v>
      </c>
      <c r="BC6" s="27">
        <f ca="1">BA6-BE6</f>
        <v>0</v>
      </c>
      <c r="BD6" s="26"/>
      <c r="BE6" s="27">
        <f ca="1">SUBTOTAL(9,INDIRECT("BE"&amp;9):INDIRECT("BE"&amp;5000))</f>
        <v>0</v>
      </c>
      <c r="BF6" s="4"/>
      <c r="BG6" s="27"/>
      <c r="BH6" s="35">
        <f ca="1">SUMPRODUCT((SUBTOTAL(3,INDIRECT("BG"&amp;ROW(BG9:BG4801))))*(BG9:BG4801=$BG$6)*(BH9:BH4801))</f>
        <v>0</v>
      </c>
      <c r="BI6" s="4"/>
      <c r="BJ6" s="4"/>
      <c r="BK6" s="4"/>
      <c r="BL6" s="4"/>
      <c r="BM6" s="4"/>
      <c r="BN6" s="4"/>
      <c r="BO6" s="27">
        <f ca="1">SUBTOTAL(9,INDIRECT("BO"&amp;9):INDIRECT("BO"&amp;5000))</f>
        <v>0</v>
      </c>
      <c r="BP6" s="27">
        <f ca="1">SUBTOTAL(9,INDIRECT("BP"&amp;9):INDIRECT("BP"&amp;5000))</f>
        <v>0</v>
      </c>
      <c r="BQ6" s="4"/>
      <c r="BR6" s="4"/>
      <c r="BS6" s="40">
        <f ca="1">SUBTOTAL(9,INDIRECT("BS"&amp;9):INDIRECT("BS"&amp;5000))</f>
        <v>0</v>
      </c>
      <c r="BT6" s="40">
        <f ca="1">SUBTOTAL(9,INDIRECT("BT"&amp;9):INDIRECT("BT"&amp;5000))</f>
        <v>0</v>
      </c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</row>
    <row r="7" spans="1:121" ht="8.25" customHeight="1">
      <c r="A7" s="4"/>
      <c r="B7" s="4"/>
      <c r="C7" s="4"/>
      <c r="D7" s="4"/>
      <c r="E7" s="4"/>
      <c r="F7" s="4"/>
      <c r="G7" s="4"/>
      <c r="H7" s="4"/>
      <c r="I7" s="13"/>
      <c r="J7" s="20"/>
      <c r="K7" s="20"/>
      <c r="L7" s="20"/>
      <c r="M7" s="2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9"/>
      <c r="BC7" s="4"/>
      <c r="BD7" s="26"/>
      <c r="BE7" s="4"/>
      <c r="BF7" s="4"/>
      <c r="BG7" s="4"/>
      <c r="BH7" s="36"/>
      <c r="BI7" s="4"/>
      <c r="BJ7" s="4"/>
      <c r="BK7" s="36"/>
      <c r="BL7" s="36"/>
      <c r="BM7" s="4"/>
      <c r="BN7" s="4"/>
      <c r="BO7" s="29"/>
      <c r="BP7" s="4"/>
      <c r="BQ7" s="4"/>
      <c r="BR7" s="4"/>
      <c r="BS7" s="26"/>
      <c r="BT7" s="26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13"/>
      <c r="DO7" s="4"/>
      <c r="DP7" s="4"/>
      <c r="DQ7" s="4"/>
    </row>
    <row r="8" spans="1:121" ht="18.95" customHeight="1">
      <c r="A8" s="5" t="s">
        <v>24</v>
      </c>
      <c r="B8" s="5" t="s">
        <v>68</v>
      </c>
      <c r="C8" s="5" t="s">
        <v>69</v>
      </c>
      <c r="D8" s="5" t="s">
        <v>70</v>
      </c>
      <c r="E8" s="5" t="s">
        <v>71</v>
      </c>
      <c r="F8" s="5" t="s">
        <v>72</v>
      </c>
      <c r="G8" s="6" t="s">
        <v>73</v>
      </c>
      <c r="H8" s="7" t="s">
        <v>74</v>
      </c>
      <c r="I8" s="6" t="s">
        <v>75</v>
      </c>
      <c r="J8" s="7" t="s">
        <v>76</v>
      </c>
      <c r="K8" s="7" t="s">
        <v>77</v>
      </c>
      <c r="L8" s="7" t="s">
        <v>78</v>
      </c>
      <c r="M8" s="7" t="s">
        <v>79</v>
      </c>
      <c r="N8" s="7" t="s">
        <v>80</v>
      </c>
      <c r="O8" s="7" t="s">
        <v>81</v>
      </c>
      <c r="P8" s="7" t="s">
        <v>82</v>
      </c>
      <c r="Q8" s="7" t="s">
        <v>83</v>
      </c>
      <c r="R8" s="7" t="s">
        <v>7</v>
      </c>
      <c r="S8" s="7" t="s">
        <v>84</v>
      </c>
      <c r="T8" s="24" t="s">
        <v>85</v>
      </c>
      <c r="U8" s="7" t="s">
        <v>86</v>
      </c>
      <c r="V8" s="7" t="s">
        <v>87</v>
      </c>
      <c r="W8" s="24" t="s">
        <v>88</v>
      </c>
      <c r="X8" s="7" t="s">
        <v>89</v>
      </c>
      <c r="Y8" s="7" t="s">
        <v>90</v>
      </c>
      <c r="Z8" s="24" t="s">
        <v>91</v>
      </c>
      <c r="AA8" s="7" t="s">
        <v>92</v>
      </c>
      <c r="AB8" s="7" t="s">
        <v>93</v>
      </c>
      <c r="AC8" s="24" t="s">
        <v>94</v>
      </c>
      <c r="AD8" s="7" t="s">
        <v>95</v>
      </c>
      <c r="AE8" s="7" t="s">
        <v>96</v>
      </c>
      <c r="AF8" s="24" t="s">
        <v>97</v>
      </c>
      <c r="AG8" s="7" t="s">
        <v>98</v>
      </c>
      <c r="AH8" s="7" t="s">
        <v>99</v>
      </c>
      <c r="AI8" s="24" t="s">
        <v>100</v>
      </c>
      <c r="AJ8" s="7" t="s">
        <v>101</v>
      </c>
      <c r="AK8" s="7" t="s">
        <v>102</v>
      </c>
      <c r="AL8" s="24" t="s">
        <v>103</v>
      </c>
      <c r="AM8" s="7" t="s">
        <v>104</v>
      </c>
      <c r="AN8" s="7" t="s">
        <v>105</v>
      </c>
      <c r="AO8" s="24" t="s">
        <v>106</v>
      </c>
      <c r="AP8" s="7" t="s">
        <v>107</v>
      </c>
      <c r="AQ8" s="7" t="s">
        <v>108</v>
      </c>
      <c r="AR8" s="24" t="s">
        <v>109</v>
      </c>
      <c r="AS8" s="7" t="s">
        <v>110</v>
      </c>
      <c r="AT8" s="7" t="s">
        <v>111</v>
      </c>
      <c r="AU8" s="24" t="s">
        <v>112</v>
      </c>
      <c r="AV8" s="7" t="s">
        <v>113</v>
      </c>
      <c r="AW8" s="30" t="s">
        <v>8</v>
      </c>
      <c r="AX8" s="30" t="s">
        <v>114</v>
      </c>
      <c r="AY8" s="7" t="s">
        <v>55</v>
      </c>
      <c r="AZ8" s="31" t="s">
        <v>115</v>
      </c>
      <c r="BA8" s="31" t="s">
        <v>10</v>
      </c>
      <c r="BB8" s="31" t="s">
        <v>116</v>
      </c>
      <c r="BC8" s="31" t="s">
        <v>117</v>
      </c>
      <c r="BD8" s="32" t="s">
        <v>118</v>
      </c>
      <c r="BE8" s="31" t="s">
        <v>119</v>
      </c>
      <c r="BF8" s="7" t="s">
        <v>120</v>
      </c>
      <c r="BG8" s="31" t="s">
        <v>121</v>
      </c>
      <c r="BH8" s="31" t="s">
        <v>122</v>
      </c>
      <c r="BI8" s="7" t="s">
        <v>123</v>
      </c>
      <c r="BJ8" s="31" t="s">
        <v>124</v>
      </c>
      <c r="BK8" s="31" t="s">
        <v>125</v>
      </c>
      <c r="BL8" s="31" t="s">
        <v>126</v>
      </c>
      <c r="BM8" s="7" t="s">
        <v>23</v>
      </c>
      <c r="BN8" s="31" t="s">
        <v>127</v>
      </c>
      <c r="BO8" s="41" t="s">
        <v>128</v>
      </c>
      <c r="BP8" s="7" t="s">
        <v>129</v>
      </c>
      <c r="BQ8" s="7" t="s">
        <v>130</v>
      </c>
      <c r="BR8" s="41" t="s">
        <v>131</v>
      </c>
      <c r="BS8" s="7" t="s">
        <v>132</v>
      </c>
      <c r="BT8" s="7" t="s">
        <v>133</v>
      </c>
      <c r="BU8" s="7" t="s">
        <v>134</v>
      </c>
      <c r="BV8" s="7" t="s">
        <v>135</v>
      </c>
      <c r="BW8" s="7" t="s">
        <v>136</v>
      </c>
      <c r="BX8" s="7" t="s">
        <v>137</v>
      </c>
      <c r="BY8" s="7" t="s">
        <v>138</v>
      </c>
      <c r="BZ8" s="7" t="s">
        <v>139</v>
      </c>
      <c r="CA8" s="7" t="s">
        <v>140</v>
      </c>
      <c r="CB8" s="31" t="s">
        <v>141</v>
      </c>
      <c r="CC8" s="31" t="s">
        <v>142</v>
      </c>
      <c r="CD8" s="24" t="s">
        <v>143</v>
      </c>
      <c r="CE8" s="7" t="s">
        <v>144</v>
      </c>
      <c r="CF8" s="7" t="s">
        <v>145</v>
      </c>
      <c r="CG8" s="30" t="s">
        <v>146</v>
      </c>
      <c r="CH8" s="30" t="s">
        <v>147</v>
      </c>
      <c r="CI8" s="30" t="s">
        <v>148</v>
      </c>
      <c r="CJ8" s="44" t="s">
        <v>149</v>
      </c>
      <c r="CK8" s="44" t="s">
        <v>150</v>
      </c>
      <c r="CL8" s="30" t="s">
        <v>151</v>
      </c>
      <c r="CM8" s="30" t="s">
        <v>152</v>
      </c>
      <c r="CN8" s="30" t="s">
        <v>153</v>
      </c>
      <c r="CO8" s="30" t="s">
        <v>154</v>
      </c>
      <c r="CP8" s="30" t="s">
        <v>155</v>
      </c>
      <c r="CQ8" s="30" t="s">
        <v>156</v>
      </c>
      <c r="CR8" s="30" t="s">
        <v>157</v>
      </c>
      <c r="CS8" s="30" t="s">
        <v>158</v>
      </c>
      <c r="CT8" s="30" t="s">
        <v>159</v>
      </c>
      <c r="CU8" s="30" t="s">
        <v>160</v>
      </c>
      <c r="CV8" s="30" t="s">
        <v>161</v>
      </c>
      <c r="CW8" s="30" t="s">
        <v>162</v>
      </c>
      <c r="CX8" s="30" t="s">
        <v>163</v>
      </c>
      <c r="CY8" s="30" t="s">
        <v>164</v>
      </c>
      <c r="CZ8" s="30" t="s">
        <v>165</v>
      </c>
      <c r="DA8" s="31" t="s">
        <v>166</v>
      </c>
      <c r="DB8" s="30" t="s">
        <v>167</v>
      </c>
      <c r="DC8" s="30" t="s">
        <v>168</v>
      </c>
      <c r="DD8" s="30" t="s">
        <v>169</v>
      </c>
      <c r="DE8" s="30" t="s">
        <v>170</v>
      </c>
      <c r="DF8" s="30" t="s">
        <v>171</v>
      </c>
      <c r="DG8" s="24" t="s">
        <v>172</v>
      </c>
      <c r="DH8" s="30" t="s">
        <v>173</v>
      </c>
      <c r="DI8" s="30" t="s">
        <v>174</v>
      </c>
      <c r="DJ8" s="30" t="s">
        <v>175</v>
      </c>
      <c r="DK8" s="30" t="s">
        <v>176</v>
      </c>
      <c r="DL8" s="30" t="s">
        <v>177</v>
      </c>
      <c r="DM8" s="30" t="s">
        <v>178</v>
      </c>
      <c r="DN8" s="31" t="s">
        <v>75</v>
      </c>
      <c r="DO8" s="45" t="s">
        <v>179</v>
      </c>
      <c r="DP8" s="31" t="s">
        <v>180</v>
      </c>
      <c r="DQ8" s="31" t="s">
        <v>181</v>
      </c>
    </row>
    <row r="9" spans="1:121" ht="18.95" customHeight="1">
      <c r="A9" s="8"/>
      <c r="B9" s="9"/>
      <c r="C9" s="9"/>
      <c r="D9" s="9"/>
      <c r="E9" s="10"/>
      <c r="F9" s="10"/>
      <c r="G9" s="8"/>
      <c r="H9" s="11"/>
      <c r="I9" s="11"/>
      <c r="J9" s="11"/>
      <c r="K9" s="10"/>
      <c r="L9" s="11"/>
      <c r="M9" s="22"/>
      <c r="N9" s="11">
        <v>1</v>
      </c>
      <c r="O9" s="22"/>
      <c r="P9" s="22"/>
      <c r="Q9" s="22"/>
      <c r="R9" s="22" t="s">
        <v>182</v>
      </c>
      <c r="S9" s="22" t="s">
        <v>183</v>
      </c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11">
        <v>3</v>
      </c>
      <c r="AX9" s="8"/>
      <c r="AY9" s="33">
        <v>30000</v>
      </c>
      <c r="AZ9" s="33"/>
      <c r="BA9" s="33"/>
      <c r="BB9" s="34"/>
      <c r="BC9" s="33"/>
      <c r="BD9" s="33"/>
      <c r="BE9" s="33"/>
      <c r="BF9" s="34"/>
      <c r="BG9" s="22"/>
      <c r="BH9" s="37"/>
      <c r="BI9" s="22"/>
      <c r="BJ9" s="8"/>
      <c r="BK9" s="37"/>
      <c r="BL9" s="37"/>
      <c r="BM9" s="42"/>
      <c r="BN9" s="22"/>
      <c r="BO9" s="33"/>
      <c r="BP9" s="33"/>
      <c r="BQ9" s="22"/>
      <c r="BR9" s="22"/>
      <c r="BS9" s="43"/>
      <c r="BT9" s="43"/>
      <c r="BU9" s="11"/>
      <c r="BV9" s="11"/>
      <c r="BW9" s="11"/>
      <c r="BX9" s="11"/>
      <c r="BY9" s="22"/>
      <c r="BZ9" s="22"/>
      <c r="CA9" s="22"/>
      <c r="CB9" s="22"/>
      <c r="CC9" s="8"/>
      <c r="CD9" s="22"/>
      <c r="CE9" s="9"/>
      <c r="CF9" s="9"/>
      <c r="CG9" s="22"/>
      <c r="CH9" s="22"/>
      <c r="CI9" s="22"/>
      <c r="CJ9" s="8"/>
      <c r="CK9" s="22"/>
      <c r="CL9" s="9"/>
      <c r="CM9" s="9"/>
      <c r="CN9" s="22"/>
      <c r="CO9" s="22"/>
      <c r="CP9" s="8"/>
      <c r="CQ9" s="22"/>
      <c r="CR9" s="22"/>
      <c r="CS9" s="22"/>
      <c r="CT9" s="22"/>
      <c r="CU9" s="22"/>
      <c r="CV9" s="9"/>
      <c r="CW9" s="22"/>
      <c r="CX9" s="9"/>
      <c r="CY9" s="10"/>
      <c r="CZ9" s="22"/>
      <c r="DA9" s="8"/>
      <c r="DB9" s="22"/>
      <c r="DC9" s="22"/>
      <c r="DD9" s="10"/>
      <c r="DE9" s="22"/>
      <c r="DF9" s="10"/>
      <c r="DG9" s="10"/>
      <c r="DH9" s="10"/>
      <c r="DI9" s="10"/>
      <c r="DJ9" s="10"/>
      <c r="DK9" s="10"/>
      <c r="DL9" s="10"/>
      <c r="DM9" s="8"/>
      <c r="DN9" s="11"/>
      <c r="DO9" s="22"/>
      <c r="DP9" s="46"/>
      <c r="DQ9" s="11"/>
    </row>
    <row r="10" spans="1:121" ht="18.95" customHeight="1">
      <c r="A10" s="8"/>
      <c r="B10" s="9"/>
      <c r="C10" s="9"/>
      <c r="D10" s="9"/>
      <c r="E10" s="10"/>
      <c r="F10" s="10"/>
      <c r="G10" s="8"/>
      <c r="H10" s="11"/>
      <c r="I10" s="11"/>
      <c r="J10" s="11"/>
      <c r="K10" s="10"/>
      <c r="L10" s="11"/>
      <c r="M10" s="22" t="s">
        <v>184</v>
      </c>
      <c r="N10" s="11"/>
      <c r="O10" s="22"/>
      <c r="P10" s="22"/>
      <c r="Q10" s="22"/>
      <c r="R10" s="22"/>
      <c r="S10" s="22" t="s">
        <v>185</v>
      </c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11">
        <v>1</v>
      </c>
      <c r="AX10" s="8"/>
      <c r="AY10" s="33">
        <v>347000</v>
      </c>
      <c r="AZ10" s="33"/>
      <c r="BA10" s="33"/>
      <c r="BB10" s="34"/>
      <c r="BC10" s="33"/>
      <c r="BD10" s="33"/>
      <c r="BE10" s="33"/>
      <c r="BF10" s="34"/>
      <c r="BG10" s="22"/>
      <c r="BH10" s="37"/>
      <c r="BI10" s="22"/>
      <c r="BJ10" s="8"/>
      <c r="BK10" s="37"/>
      <c r="BL10" s="37"/>
      <c r="BM10" s="42"/>
      <c r="BN10" s="22"/>
      <c r="BO10" s="33"/>
      <c r="BP10" s="33"/>
      <c r="BQ10" s="22"/>
      <c r="BR10" s="22"/>
      <c r="BS10" s="43"/>
      <c r="BT10" s="43"/>
      <c r="BU10" s="11"/>
      <c r="BV10" s="11"/>
      <c r="BW10" s="11"/>
      <c r="BX10" s="11"/>
      <c r="BY10" s="22"/>
      <c r="BZ10" s="22"/>
      <c r="CA10" s="22"/>
      <c r="CB10" s="22"/>
      <c r="CC10" s="8"/>
      <c r="CD10" s="22"/>
      <c r="CE10" s="9"/>
      <c r="CF10" s="9"/>
      <c r="CG10" s="22"/>
      <c r="CH10" s="22"/>
      <c r="CI10" s="22"/>
      <c r="CJ10" s="8"/>
      <c r="CK10" s="22"/>
      <c r="CL10" s="9"/>
      <c r="CM10" s="9"/>
      <c r="CN10" s="22"/>
      <c r="CO10" s="22"/>
      <c r="CP10" s="8"/>
      <c r="CQ10" s="22"/>
      <c r="CR10" s="22"/>
      <c r="CS10" s="22"/>
      <c r="CT10" s="22"/>
      <c r="CU10" s="22"/>
      <c r="CV10" s="9"/>
      <c r="CW10" s="22"/>
      <c r="CX10" s="9"/>
      <c r="CY10" s="10"/>
      <c r="CZ10" s="22"/>
      <c r="DA10" s="8"/>
      <c r="DB10" s="22"/>
      <c r="DC10" s="22"/>
      <c r="DD10" s="10"/>
      <c r="DE10" s="22"/>
      <c r="DF10" s="10"/>
      <c r="DG10" s="10"/>
      <c r="DH10" s="10"/>
      <c r="DI10" s="10"/>
      <c r="DJ10" s="10"/>
      <c r="DK10" s="10"/>
      <c r="DL10" s="10"/>
      <c r="DM10" s="8"/>
      <c r="DN10" s="11"/>
      <c r="DO10" s="22"/>
      <c r="DP10" s="46"/>
      <c r="DQ10" s="11"/>
    </row>
    <row r="11" spans="1:121" ht="18.95" customHeight="1">
      <c r="A11" s="8"/>
      <c r="B11" s="9"/>
      <c r="C11" s="9"/>
      <c r="D11" s="9"/>
      <c r="E11" s="10"/>
      <c r="F11" s="10"/>
      <c r="G11" s="8"/>
      <c r="H11" s="11"/>
      <c r="I11" s="11"/>
      <c r="J11" s="11"/>
      <c r="K11" s="10"/>
      <c r="L11" s="11"/>
      <c r="M11" s="22" t="s">
        <v>186</v>
      </c>
      <c r="N11" s="11"/>
      <c r="O11" s="22"/>
      <c r="P11" s="22"/>
      <c r="Q11" s="22"/>
      <c r="R11" s="22"/>
      <c r="S11" s="22" t="s">
        <v>185</v>
      </c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11">
        <v>1</v>
      </c>
      <c r="AX11" s="8"/>
      <c r="AY11" s="33">
        <v>28200</v>
      </c>
      <c r="AZ11" s="33"/>
      <c r="BA11" s="33"/>
      <c r="BB11" s="34"/>
      <c r="BC11" s="33"/>
      <c r="BD11" s="33"/>
      <c r="BE11" s="33"/>
      <c r="BF11" s="34"/>
      <c r="BG11" s="22"/>
      <c r="BH11" s="37"/>
      <c r="BI11" s="22"/>
      <c r="BJ11" s="8"/>
      <c r="BK11" s="37"/>
      <c r="BL11" s="37"/>
      <c r="BM11" s="42"/>
      <c r="BN11" s="22"/>
      <c r="BO11" s="33"/>
      <c r="BP11" s="33"/>
      <c r="BQ11" s="22"/>
      <c r="BR11" s="22"/>
      <c r="BS11" s="43"/>
      <c r="BT11" s="43"/>
      <c r="BU11" s="11"/>
      <c r="BV11" s="11"/>
      <c r="BW11" s="11"/>
      <c r="BX11" s="11"/>
      <c r="BY11" s="22"/>
      <c r="BZ11" s="22"/>
      <c r="CA11" s="22"/>
      <c r="CB11" s="22"/>
      <c r="CC11" s="8"/>
      <c r="CD11" s="22"/>
      <c r="CE11" s="9"/>
      <c r="CF11" s="9"/>
      <c r="CG11" s="22"/>
      <c r="CH11" s="22"/>
      <c r="CI11" s="22"/>
      <c r="CJ11" s="8"/>
      <c r="CK11" s="22"/>
      <c r="CL11" s="9"/>
      <c r="CM11" s="9"/>
      <c r="CN11" s="22"/>
      <c r="CO11" s="22"/>
      <c r="CP11" s="8"/>
      <c r="CQ11" s="22"/>
      <c r="CR11" s="22"/>
      <c r="CS11" s="22"/>
      <c r="CT11" s="22"/>
      <c r="CU11" s="22"/>
      <c r="CV11" s="9"/>
      <c r="CW11" s="22"/>
      <c r="CX11" s="9"/>
      <c r="CY11" s="10"/>
      <c r="CZ11" s="22"/>
      <c r="DA11" s="8"/>
      <c r="DB11" s="22"/>
      <c r="DC11" s="22"/>
      <c r="DD11" s="10"/>
      <c r="DE11" s="22"/>
      <c r="DF11" s="10"/>
      <c r="DG11" s="10"/>
      <c r="DH11" s="10"/>
      <c r="DI11" s="10"/>
      <c r="DJ11" s="10"/>
      <c r="DK11" s="10"/>
      <c r="DL11" s="10"/>
      <c r="DM11" s="8"/>
      <c r="DN11" s="11"/>
      <c r="DO11" s="22"/>
      <c r="DP11" s="46"/>
      <c r="DQ11" s="11"/>
    </row>
    <row r="12" spans="1:121" ht="18.95" customHeight="1">
      <c r="A12" s="8"/>
      <c r="B12" s="9"/>
      <c r="C12" s="9"/>
      <c r="D12" s="9"/>
      <c r="E12" s="10"/>
      <c r="F12" s="10"/>
      <c r="G12" s="8"/>
      <c r="H12" s="11"/>
      <c r="I12" s="11"/>
      <c r="J12" s="11"/>
      <c r="K12" s="10"/>
      <c r="L12" s="11"/>
      <c r="M12" s="22" t="s">
        <v>187</v>
      </c>
      <c r="N12" s="11">
        <v>1</v>
      </c>
      <c r="O12" s="22"/>
      <c r="P12" s="22"/>
      <c r="Q12" s="22"/>
      <c r="R12" s="22" t="s">
        <v>50</v>
      </c>
      <c r="S12" s="22" t="s">
        <v>192</v>
      </c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11">
        <v>2</v>
      </c>
      <c r="AX12" s="8"/>
      <c r="AY12" s="33">
        <v>48400</v>
      </c>
      <c r="AZ12" s="33"/>
      <c r="BA12" s="33"/>
      <c r="BB12" s="34"/>
      <c r="BC12" s="33"/>
      <c r="BD12" s="33"/>
      <c r="BE12" s="33"/>
      <c r="BF12" s="34"/>
      <c r="BG12" s="22"/>
      <c r="BH12" s="37"/>
      <c r="BI12" s="22"/>
      <c r="BJ12" s="8"/>
      <c r="BK12" s="37"/>
      <c r="BL12" s="37"/>
      <c r="BM12" s="42"/>
      <c r="BN12" s="22"/>
      <c r="BO12" s="33"/>
      <c r="BP12" s="33"/>
      <c r="BQ12" s="22"/>
      <c r="BR12" s="22"/>
      <c r="BS12" s="43"/>
      <c r="BT12" s="43"/>
      <c r="BU12" s="11"/>
      <c r="BV12" s="11"/>
      <c r="BW12" s="11"/>
      <c r="BX12" s="11"/>
      <c r="BY12" s="22"/>
      <c r="BZ12" s="22"/>
      <c r="CA12" s="22"/>
      <c r="CB12" s="22"/>
      <c r="CC12" s="8"/>
      <c r="CD12" s="22"/>
      <c r="CE12" s="9"/>
      <c r="CF12" s="9"/>
      <c r="CG12" s="22"/>
      <c r="CH12" s="22"/>
      <c r="CI12" s="22"/>
      <c r="CJ12" s="8"/>
      <c r="CK12" s="22"/>
      <c r="CL12" s="9"/>
      <c r="CM12" s="9"/>
      <c r="CN12" s="22"/>
      <c r="CO12" s="22"/>
      <c r="CP12" s="8"/>
      <c r="CQ12" s="22"/>
      <c r="CR12" s="22"/>
      <c r="CS12" s="22"/>
      <c r="CT12" s="22"/>
      <c r="CU12" s="22"/>
      <c r="CV12" s="9"/>
      <c r="CW12" s="22"/>
      <c r="CX12" s="9"/>
      <c r="CY12" s="10"/>
      <c r="CZ12" s="22"/>
      <c r="DA12" s="8"/>
      <c r="DB12" s="22"/>
      <c r="DC12" s="22"/>
      <c r="DD12" s="10"/>
      <c r="DE12" s="22"/>
      <c r="DF12" s="10"/>
      <c r="DG12" s="10"/>
      <c r="DH12" s="10"/>
      <c r="DI12" s="10"/>
      <c r="DJ12" s="10"/>
      <c r="DK12" s="10"/>
      <c r="DL12" s="10"/>
      <c r="DM12" s="8"/>
      <c r="DN12" s="11"/>
      <c r="DO12" s="22"/>
      <c r="DP12" s="46"/>
      <c r="DQ12" s="11"/>
    </row>
    <row r="13" spans="1:121" ht="18.95" customHeight="1">
      <c r="A13" s="8"/>
      <c r="B13" s="9"/>
      <c r="C13" s="9"/>
      <c r="D13" s="9"/>
      <c r="E13" s="10"/>
      <c r="F13" s="10"/>
      <c r="G13" s="8"/>
      <c r="H13" s="11"/>
      <c r="I13" s="11"/>
      <c r="J13" s="11"/>
      <c r="K13" s="10"/>
      <c r="L13" s="11"/>
      <c r="M13" s="22" t="s">
        <v>188</v>
      </c>
      <c r="N13" s="11">
        <v>1</v>
      </c>
      <c r="O13" s="22"/>
      <c r="P13" s="22"/>
      <c r="Q13" s="22"/>
      <c r="R13" s="22" t="s">
        <v>51</v>
      </c>
      <c r="S13" s="22" t="s">
        <v>185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11">
        <v>2</v>
      </c>
      <c r="AX13" s="8"/>
      <c r="AY13" s="33">
        <v>74000</v>
      </c>
      <c r="AZ13" s="33"/>
      <c r="BA13" s="33"/>
      <c r="BB13" s="34"/>
      <c r="BC13" s="33"/>
      <c r="BD13" s="33"/>
      <c r="BE13" s="33"/>
      <c r="BF13" s="34"/>
      <c r="BG13" s="22"/>
      <c r="BH13" s="37"/>
      <c r="BI13" s="22"/>
      <c r="BJ13" s="8"/>
      <c r="BK13" s="37"/>
      <c r="BL13" s="37"/>
      <c r="BM13" s="42"/>
      <c r="BN13" s="22"/>
      <c r="BO13" s="33"/>
      <c r="BP13" s="33"/>
      <c r="BQ13" s="22"/>
      <c r="BR13" s="22"/>
      <c r="BS13" s="43"/>
      <c r="BT13" s="43"/>
      <c r="BU13" s="11"/>
      <c r="BV13" s="11"/>
      <c r="BW13" s="11"/>
      <c r="BX13" s="11"/>
      <c r="BY13" s="22"/>
      <c r="BZ13" s="22"/>
      <c r="CA13" s="22"/>
      <c r="CB13" s="22"/>
      <c r="CC13" s="8"/>
      <c r="CD13" s="22"/>
      <c r="CE13" s="9"/>
      <c r="CF13" s="9"/>
      <c r="CG13" s="22"/>
      <c r="CH13" s="22"/>
      <c r="CI13" s="22"/>
      <c r="CJ13" s="8"/>
      <c r="CK13" s="22"/>
      <c r="CL13" s="9"/>
      <c r="CM13" s="9"/>
      <c r="CN13" s="22"/>
      <c r="CO13" s="22"/>
      <c r="CP13" s="8"/>
      <c r="CQ13" s="22"/>
      <c r="CR13" s="22"/>
      <c r="CS13" s="22"/>
      <c r="CT13" s="22"/>
      <c r="CU13" s="22"/>
      <c r="CV13" s="9"/>
      <c r="CW13" s="22"/>
      <c r="CX13" s="9"/>
      <c r="CY13" s="10"/>
      <c r="CZ13" s="22"/>
      <c r="DA13" s="8"/>
      <c r="DB13" s="22"/>
      <c r="DC13" s="22"/>
      <c r="DD13" s="10"/>
      <c r="DE13" s="22"/>
      <c r="DF13" s="10"/>
      <c r="DG13" s="10"/>
      <c r="DH13" s="10"/>
      <c r="DI13" s="10"/>
      <c r="DJ13" s="10"/>
      <c r="DK13" s="10"/>
      <c r="DL13" s="10"/>
      <c r="DM13" s="8"/>
      <c r="DN13" s="11"/>
      <c r="DO13" s="22"/>
      <c r="DP13" s="46"/>
      <c r="DQ13" s="11"/>
    </row>
    <row r="14" spans="1:121" ht="18.95" customHeight="1">
      <c r="A14" s="8"/>
      <c r="B14" s="9"/>
      <c r="C14" s="9"/>
      <c r="D14" s="9"/>
      <c r="E14" s="10"/>
      <c r="F14" s="10"/>
      <c r="G14" s="8"/>
      <c r="H14" s="11"/>
      <c r="I14" s="11"/>
      <c r="J14" s="11"/>
      <c r="K14" s="10"/>
      <c r="L14" s="11"/>
      <c r="M14" s="22" t="s">
        <v>189</v>
      </c>
      <c r="N14" s="11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11">
        <v>1</v>
      </c>
      <c r="AX14" s="8"/>
      <c r="AY14" s="33">
        <v>43800</v>
      </c>
      <c r="AZ14" s="33"/>
      <c r="BA14" s="33"/>
      <c r="BB14" s="34"/>
      <c r="BC14" s="33"/>
      <c r="BD14" s="33"/>
      <c r="BE14" s="33"/>
      <c r="BF14" s="34"/>
      <c r="BG14" s="22"/>
      <c r="BH14" s="37"/>
      <c r="BI14" s="22"/>
      <c r="BJ14" s="8"/>
      <c r="BK14" s="37"/>
      <c r="BL14" s="37"/>
      <c r="BM14" s="42"/>
      <c r="BN14" s="22"/>
      <c r="BO14" s="33"/>
      <c r="BP14" s="33"/>
      <c r="BQ14" s="22"/>
      <c r="BR14" s="22"/>
      <c r="BS14" s="43"/>
      <c r="BT14" s="43"/>
      <c r="BU14" s="11"/>
      <c r="BV14" s="11"/>
      <c r="BW14" s="11"/>
      <c r="BX14" s="11"/>
      <c r="BY14" s="22"/>
      <c r="BZ14" s="22"/>
      <c r="CA14" s="22"/>
      <c r="CB14" s="22"/>
      <c r="CC14" s="8"/>
      <c r="CD14" s="22"/>
      <c r="CE14" s="9"/>
      <c r="CF14" s="9"/>
      <c r="CG14" s="22"/>
      <c r="CH14" s="22"/>
      <c r="CI14" s="22"/>
      <c r="CJ14" s="8"/>
      <c r="CK14" s="22"/>
      <c r="CL14" s="9"/>
      <c r="CM14" s="9"/>
      <c r="CN14" s="22"/>
      <c r="CO14" s="22"/>
      <c r="CP14" s="8"/>
      <c r="CQ14" s="22"/>
      <c r="CR14" s="22"/>
      <c r="CS14" s="22"/>
      <c r="CT14" s="22"/>
      <c r="CU14" s="22"/>
      <c r="CV14" s="9"/>
      <c r="CW14" s="22"/>
      <c r="CX14" s="9"/>
      <c r="CY14" s="10"/>
      <c r="CZ14" s="22"/>
      <c r="DA14" s="8"/>
      <c r="DB14" s="22"/>
      <c r="DC14" s="22"/>
      <c r="DD14" s="10"/>
      <c r="DE14" s="22"/>
      <c r="DF14" s="10"/>
      <c r="DG14" s="10"/>
      <c r="DH14" s="10"/>
      <c r="DI14" s="10"/>
      <c r="DJ14" s="10"/>
      <c r="DK14" s="10"/>
      <c r="DL14" s="10"/>
      <c r="DM14" s="8"/>
      <c r="DN14" s="11"/>
      <c r="DO14" s="22"/>
      <c r="DP14" s="46"/>
      <c r="DQ14" s="11"/>
    </row>
    <row r="15" spans="1:121" ht="18.95" customHeight="1">
      <c r="A15" s="8"/>
      <c r="B15" s="9"/>
      <c r="C15" s="9"/>
      <c r="D15" s="9"/>
      <c r="E15" s="10"/>
      <c r="F15" s="10"/>
      <c r="G15" s="8"/>
      <c r="H15" s="11"/>
      <c r="I15" s="11"/>
      <c r="J15" s="11"/>
      <c r="K15" s="10"/>
      <c r="L15" s="11"/>
      <c r="M15" s="22" t="s">
        <v>190</v>
      </c>
      <c r="N15" s="11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11">
        <v>3</v>
      </c>
      <c r="AX15" s="8"/>
      <c r="AY15" s="33">
        <v>38800</v>
      </c>
      <c r="AZ15" s="33"/>
      <c r="BA15" s="33"/>
      <c r="BB15" s="34"/>
      <c r="BC15" s="33"/>
      <c r="BD15" s="33"/>
      <c r="BE15" s="33"/>
      <c r="BF15" s="34"/>
      <c r="BG15" s="22"/>
      <c r="BH15" s="37"/>
      <c r="BI15" s="22"/>
      <c r="BJ15" s="8"/>
      <c r="BK15" s="37"/>
      <c r="BL15" s="37"/>
      <c r="BM15" s="42"/>
      <c r="BN15" s="22"/>
      <c r="BO15" s="33"/>
      <c r="BP15" s="33"/>
      <c r="BQ15" s="22"/>
      <c r="BR15" s="22"/>
      <c r="BS15" s="43"/>
      <c r="BT15" s="43"/>
      <c r="BU15" s="11"/>
      <c r="BV15" s="11"/>
      <c r="BW15" s="11"/>
      <c r="BX15" s="11"/>
      <c r="BY15" s="22"/>
      <c r="BZ15" s="22"/>
      <c r="CA15" s="22"/>
      <c r="CB15" s="22"/>
      <c r="CC15" s="8"/>
      <c r="CD15" s="22"/>
      <c r="CE15" s="9"/>
      <c r="CF15" s="9"/>
      <c r="CG15" s="22"/>
      <c r="CH15" s="22"/>
      <c r="CI15" s="22"/>
      <c r="CJ15" s="8"/>
      <c r="CK15" s="22"/>
      <c r="CL15" s="9"/>
      <c r="CM15" s="9"/>
      <c r="CN15" s="22"/>
      <c r="CO15" s="22"/>
      <c r="CP15" s="8"/>
      <c r="CQ15" s="22"/>
      <c r="CR15" s="22"/>
      <c r="CS15" s="22"/>
      <c r="CT15" s="22"/>
      <c r="CU15" s="22"/>
      <c r="CV15" s="9"/>
      <c r="CW15" s="22"/>
      <c r="CX15" s="9"/>
      <c r="CY15" s="10"/>
      <c r="CZ15" s="22"/>
      <c r="DA15" s="8"/>
      <c r="DB15" s="22"/>
      <c r="DC15" s="22"/>
      <c r="DD15" s="10"/>
      <c r="DE15" s="22"/>
      <c r="DF15" s="10"/>
      <c r="DG15" s="10"/>
      <c r="DH15" s="10"/>
      <c r="DI15" s="10"/>
      <c r="DJ15" s="10"/>
      <c r="DK15" s="10"/>
      <c r="DL15" s="10"/>
      <c r="DM15" s="8"/>
      <c r="DN15" s="11"/>
      <c r="DO15" s="22"/>
      <c r="DP15" s="46"/>
      <c r="DQ15" s="11"/>
    </row>
    <row r="16" spans="1:121" ht="18.95" customHeight="1">
      <c r="A16" s="8"/>
      <c r="B16" s="9"/>
      <c r="C16" s="9"/>
      <c r="D16" s="9"/>
      <c r="E16" s="10"/>
      <c r="F16" s="10"/>
      <c r="G16" s="8"/>
      <c r="H16" s="11"/>
      <c r="I16" s="11"/>
      <c r="J16" s="11"/>
      <c r="K16" s="10"/>
      <c r="L16" s="11"/>
      <c r="M16" s="22" t="s">
        <v>191</v>
      </c>
      <c r="N16" s="11"/>
      <c r="O16" s="22"/>
      <c r="P16" s="22"/>
      <c r="Q16" s="22"/>
      <c r="R16" s="22"/>
      <c r="S16" s="22" t="s">
        <v>185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11">
        <v>3</v>
      </c>
      <c r="AX16" s="8"/>
      <c r="AY16" s="33">
        <v>77500</v>
      </c>
      <c r="AZ16" s="33"/>
      <c r="BA16" s="33"/>
      <c r="BB16" s="34"/>
      <c r="BC16" s="33"/>
      <c r="BD16" s="33"/>
      <c r="BE16" s="33"/>
      <c r="BF16" s="34"/>
      <c r="BG16" s="22"/>
      <c r="BH16" s="37"/>
      <c r="BI16" s="22"/>
      <c r="BJ16" s="8"/>
      <c r="BK16" s="37"/>
      <c r="BL16" s="37"/>
      <c r="BM16" s="42"/>
      <c r="BN16" s="22"/>
      <c r="BO16" s="33"/>
      <c r="BP16" s="33"/>
      <c r="BQ16" s="22"/>
      <c r="BR16" s="22"/>
      <c r="BS16" s="43"/>
      <c r="BT16" s="43"/>
      <c r="BU16" s="11"/>
      <c r="BV16" s="11"/>
      <c r="BW16" s="11"/>
      <c r="BX16" s="11"/>
      <c r="BY16" s="22"/>
      <c r="BZ16" s="22"/>
      <c r="CA16" s="22"/>
      <c r="CB16" s="22"/>
      <c r="CC16" s="8"/>
      <c r="CD16" s="22"/>
      <c r="CE16" s="9"/>
      <c r="CF16" s="9"/>
      <c r="CG16" s="22"/>
      <c r="CH16" s="22"/>
      <c r="CI16" s="22"/>
      <c r="CJ16" s="8"/>
      <c r="CK16" s="22"/>
      <c r="CL16" s="9"/>
      <c r="CM16" s="9"/>
      <c r="CN16" s="22"/>
      <c r="CO16" s="22"/>
      <c r="CP16" s="8"/>
      <c r="CQ16" s="22"/>
      <c r="CR16" s="22"/>
      <c r="CS16" s="22"/>
      <c r="CT16" s="22"/>
      <c r="CU16" s="22"/>
      <c r="CV16" s="9"/>
      <c r="CW16" s="22"/>
      <c r="CX16" s="9"/>
      <c r="CY16" s="10"/>
      <c r="CZ16" s="22"/>
      <c r="DA16" s="8"/>
      <c r="DB16" s="22"/>
      <c r="DC16" s="22"/>
      <c r="DD16" s="10"/>
      <c r="DE16" s="22"/>
      <c r="DF16" s="10"/>
      <c r="DG16" s="10"/>
      <c r="DH16" s="10"/>
      <c r="DI16" s="10"/>
      <c r="DJ16" s="10"/>
      <c r="DK16" s="10"/>
      <c r="DL16" s="10"/>
      <c r="DM16" s="8"/>
      <c r="DN16" s="11"/>
      <c r="DO16" s="22"/>
      <c r="DP16" s="46"/>
      <c r="DQ16" s="11"/>
    </row>
    <row r="17" spans="1:121" ht="18.95" customHeight="1">
      <c r="A17" s="8"/>
      <c r="B17" s="9"/>
      <c r="C17" s="9"/>
      <c r="D17" s="9"/>
      <c r="E17" s="10"/>
      <c r="F17" s="10"/>
      <c r="G17" s="8"/>
      <c r="H17" s="11"/>
      <c r="I17" s="11"/>
      <c r="J17" s="11"/>
      <c r="K17" s="10"/>
      <c r="L17" s="11"/>
      <c r="M17" s="22"/>
      <c r="N17" s="11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11"/>
      <c r="AX17" s="8"/>
      <c r="AY17" s="33"/>
      <c r="AZ17" s="33"/>
      <c r="BA17" s="33"/>
      <c r="BB17" s="34"/>
      <c r="BC17" s="33"/>
      <c r="BD17" s="33"/>
      <c r="BE17" s="33"/>
      <c r="BF17" s="34"/>
      <c r="BG17" s="22"/>
      <c r="BH17" s="37"/>
      <c r="BI17" s="22"/>
      <c r="BJ17" s="8"/>
      <c r="BK17" s="37"/>
      <c r="BL17" s="37"/>
      <c r="BM17" s="42"/>
      <c r="BN17" s="22"/>
      <c r="BO17" s="33"/>
      <c r="BP17" s="33"/>
      <c r="BQ17" s="22"/>
      <c r="BR17" s="22"/>
      <c r="BS17" s="43"/>
      <c r="BT17" s="43"/>
      <c r="BU17" s="11"/>
      <c r="BV17" s="11"/>
      <c r="BW17" s="11"/>
      <c r="BX17" s="11"/>
      <c r="BY17" s="22"/>
      <c r="BZ17" s="22"/>
      <c r="CA17" s="22"/>
      <c r="CB17" s="22"/>
      <c r="CC17" s="8"/>
      <c r="CD17" s="22"/>
      <c r="CE17" s="9"/>
      <c r="CF17" s="9"/>
      <c r="CG17" s="22"/>
      <c r="CH17" s="22"/>
      <c r="CI17" s="22"/>
      <c r="CJ17" s="8"/>
      <c r="CK17" s="22"/>
      <c r="CL17" s="9"/>
      <c r="CM17" s="9"/>
      <c r="CN17" s="22"/>
      <c r="CO17" s="22"/>
      <c r="CP17" s="8"/>
      <c r="CQ17" s="22"/>
      <c r="CR17" s="22"/>
      <c r="CS17" s="22"/>
      <c r="CT17" s="22"/>
      <c r="CU17" s="22"/>
      <c r="CV17" s="9"/>
      <c r="CW17" s="22"/>
      <c r="CX17" s="9"/>
      <c r="CY17" s="10"/>
      <c r="CZ17" s="22"/>
      <c r="DA17" s="8"/>
      <c r="DB17" s="22"/>
      <c r="DC17" s="22"/>
      <c r="DD17" s="10"/>
      <c r="DE17" s="22"/>
      <c r="DF17" s="10"/>
      <c r="DG17" s="10"/>
      <c r="DH17" s="10"/>
      <c r="DI17" s="10"/>
      <c r="DJ17" s="10"/>
      <c r="DK17" s="10"/>
      <c r="DL17" s="10"/>
      <c r="DM17" s="8"/>
      <c r="DN17" s="11"/>
      <c r="DO17" s="22"/>
      <c r="DP17" s="46"/>
      <c r="DQ17" s="11"/>
    </row>
    <row r="18" spans="1:121" ht="18.95" customHeight="1">
      <c r="A18" s="8"/>
      <c r="B18" s="9"/>
      <c r="C18" s="9"/>
      <c r="D18" s="9"/>
      <c r="E18" s="10"/>
      <c r="F18" s="10"/>
      <c r="G18" s="8"/>
      <c r="H18" s="11"/>
      <c r="I18" s="11"/>
      <c r="J18" s="11"/>
      <c r="K18" s="10"/>
      <c r="L18" s="11"/>
      <c r="M18" s="22"/>
      <c r="N18" s="11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11"/>
      <c r="AX18" s="8"/>
      <c r="AY18" s="33"/>
      <c r="AZ18" s="33"/>
      <c r="BA18" s="33"/>
      <c r="BB18" s="34"/>
      <c r="BC18" s="33"/>
      <c r="BD18" s="33"/>
      <c r="BE18" s="33"/>
      <c r="BF18" s="34"/>
      <c r="BG18" s="22"/>
      <c r="BH18" s="37"/>
      <c r="BI18" s="22"/>
      <c r="BJ18" s="8"/>
      <c r="BK18" s="37"/>
      <c r="BL18" s="37"/>
      <c r="BM18" s="42"/>
      <c r="BN18" s="22"/>
      <c r="BO18" s="33"/>
      <c r="BP18" s="33"/>
      <c r="BQ18" s="22"/>
      <c r="BR18" s="22"/>
      <c r="BS18" s="43"/>
      <c r="BT18" s="43"/>
      <c r="BU18" s="11"/>
      <c r="BV18" s="11"/>
      <c r="BW18" s="11"/>
      <c r="BX18" s="11"/>
      <c r="BY18" s="22"/>
      <c r="BZ18" s="22"/>
      <c r="CA18" s="22"/>
      <c r="CB18" s="22"/>
      <c r="CC18" s="8"/>
      <c r="CD18" s="22"/>
      <c r="CE18" s="9"/>
      <c r="CF18" s="9"/>
      <c r="CG18" s="22"/>
      <c r="CH18" s="22"/>
      <c r="CI18" s="22"/>
      <c r="CJ18" s="8"/>
      <c r="CK18" s="22"/>
      <c r="CL18" s="9"/>
      <c r="CM18" s="9"/>
      <c r="CN18" s="22"/>
      <c r="CO18" s="22"/>
      <c r="CP18" s="8"/>
      <c r="CQ18" s="22"/>
      <c r="CR18" s="22"/>
      <c r="CS18" s="22"/>
      <c r="CT18" s="22"/>
      <c r="CU18" s="22"/>
      <c r="CV18" s="9"/>
      <c r="CW18" s="22"/>
      <c r="CX18" s="9"/>
      <c r="CY18" s="10"/>
      <c r="CZ18" s="22"/>
      <c r="DA18" s="8"/>
      <c r="DB18" s="22"/>
      <c r="DC18" s="22"/>
      <c r="DD18" s="10"/>
      <c r="DE18" s="22"/>
      <c r="DF18" s="10"/>
      <c r="DG18" s="10"/>
      <c r="DH18" s="10"/>
      <c r="DI18" s="10"/>
      <c r="DJ18" s="10"/>
      <c r="DK18" s="10"/>
      <c r="DL18" s="10"/>
      <c r="DM18" s="8"/>
      <c r="DN18" s="11"/>
      <c r="DO18" s="22"/>
      <c r="DP18" s="46"/>
      <c r="DQ18" s="11"/>
    </row>
    <row r="19" spans="1:121" ht="18.95" customHeight="1">
      <c r="A19" s="8"/>
      <c r="B19" s="9"/>
      <c r="C19" s="9"/>
      <c r="D19" s="9"/>
      <c r="E19" s="10"/>
      <c r="F19" s="10"/>
      <c r="G19" s="8"/>
      <c r="H19" s="11"/>
      <c r="I19" s="11"/>
      <c r="J19" s="11"/>
      <c r="K19" s="10"/>
      <c r="L19" s="11"/>
      <c r="M19" s="22"/>
      <c r="N19" s="11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11"/>
      <c r="AX19" s="8"/>
      <c r="AY19" s="33"/>
      <c r="AZ19" s="33"/>
      <c r="BA19" s="33"/>
      <c r="BB19" s="34"/>
      <c r="BC19" s="33"/>
      <c r="BD19" s="33"/>
      <c r="BE19" s="33"/>
      <c r="BF19" s="34"/>
      <c r="BG19" s="22"/>
      <c r="BH19" s="37"/>
      <c r="BI19" s="22"/>
      <c r="BJ19" s="8"/>
      <c r="BK19" s="37"/>
      <c r="BL19" s="37"/>
      <c r="BM19" s="42"/>
      <c r="BN19" s="22"/>
      <c r="BO19" s="33"/>
      <c r="BP19" s="33"/>
      <c r="BQ19" s="22"/>
      <c r="BR19" s="22"/>
      <c r="BS19" s="43"/>
      <c r="BT19" s="43"/>
      <c r="BU19" s="11"/>
      <c r="BV19" s="11"/>
      <c r="BW19" s="11"/>
      <c r="BX19" s="11"/>
      <c r="BY19" s="22"/>
      <c r="BZ19" s="22"/>
      <c r="CA19" s="22"/>
      <c r="CB19" s="22"/>
      <c r="CC19" s="8"/>
      <c r="CD19" s="22"/>
      <c r="CE19" s="9"/>
      <c r="CF19" s="9"/>
      <c r="CG19" s="22"/>
      <c r="CH19" s="22"/>
      <c r="CI19" s="22"/>
      <c r="CJ19" s="8"/>
      <c r="CK19" s="22"/>
      <c r="CL19" s="9"/>
      <c r="CM19" s="9"/>
      <c r="CN19" s="22"/>
      <c r="CO19" s="22"/>
      <c r="CP19" s="8"/>
      <c r="CQ19" s="22"/>
      <c r="CR19" s="22"/>
      <c r="CS19" s="22"/>
      <c r="CT19" s="22"/>
      <c r="CU19" s="22"/>
      <c r="CV19" s="9"/>
      <c r="CW19" s="22"/>
      <c r="CX19" s="9"/>
      <c r="CY19" s="10"/>
      <c r="CZ19" s="22"/>
      <c r="DA19" s="8"/>
      <c r="DB19" s="22"/>
      <c r="DC19" s="22"/>
      <c r="DD19" s="10"/>
      <c r="DE19" s="22"/>
      <c r="DF19" s="10"/>
      <c r="DG19" s="10"/>
      <c r="DH19" s="10"/>
      <c r="DI19" s="10"/>
      <c r="DJ19" s="10"/>
      <c r="DK19" s="10"/>
      <c r="DL19" s="10"/>
      <c r="DM19" s="8"/>
      <c r="DN19" s="11"/>
      <c r="DO19" s="22"/>
      <c r="DP19" s="46"/>
      <c r="DQ19" s="11"/>
    </row>
    <row r="20" spans="1:121" ht="18.95" customHeight="1">
      <c r="A20" s="8"/>
      <c r="B20" s="9"/>
      <c r="C20" s="9"/>
      <c r="D20" s="9"/>
      <c r="E20" s="10"/>
      <c r="F20" s="10"/>
      <c r="G20" s="8"/>
      <c r="H20" s="11"/>
      <c r="I20" s="11"/>
      <c r="J20" s="11"/>
      <c r="K20" s="10"/>
      <c r="L20" s="11"/>
      <c r="M20" s="22"/>
      <c r="N20" s="11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11"/>
      <c r="AX20" s="8"/>
      <c r="AY20" s="33"/>
      <c r="AZ20" s="33"/>
      <c r="BA20" s="33"/>
      <c r="BB20" s="34"/>
      <c r="BC20" s="33"/>
      <c r="BD20" s="33"/>
      <c r="BE20" s="33"/>
      <c r="BF20" s="34"/>
      <c r="BG20" s="22"/>
      <c r="BH20" s="37"/>
      <c r="BI20" s="22"/>
      <c r="BJ20" s="8"/>
      <c r="BK20" s="37"/>
      <c r="BL20" s="37"/>
      <c r="BM20" s="42"/>
      <c r="BN20" s="22"/>
      <c r="BO20" s="33"/>
      <c r="BP20" s="33"/>
      <c r="BQ20" s="22"/>
      <c r="BR20" s="22"/>
      <c r="BS20" s="43"/>
      <c r="BT20" s="43"/>
      <c r="BU20" s="11"/>
      <c r="BV20" s="11"/>
      <c r="BW20" s="11"/>
      <c r="BX20" s="11"/>
      <c r="BY20" s="22"/>
      <c r="BZ20" s="22"/>
      <c r="CA20" s="22"/>
      <c r="CB20" s="22"/>
      <c r="CC20" s="8"/>
      <c r="CD20" s="22"/>
      <c r="CE20" s="9"/>
      <c r="CF20" s="9"/>
      <c r="CG20" s="22"/>
      <c r="CH20" s="22"/>
      <c r="CI20" s="22"/>
      <c r="CJ20" s="8"/>
      <c r="CK20" s="22"/>
      <c r="CL20" s="9"/>
      <c r="CM20" s="9"/>
      <c r="CN20" s="22"/>
      <c r="CO20" s="22"/>
      <c r="CP20" s="8"/>
      <c r="CQ20" s="22"/>
      <c r="CR20" s="22"/>
      <c r="CS20" s="22"/>
      <c r="CT20" s="22"/>
      <c r="CU20" s="22"/>
      <c r="CV20" s="9"/>
      <c r="CW20" s="22"/>
      <c r="CX20" s="9"/>
      <c r="CY20" s="10"/>
      <c r="CZ20" s="22"/>
      <c r="DA20" s="8"/>
      <c r="DB20" s="22"/>
      <c r="DC20" s="22"/>
      <c r="DD20" s="10"/>
      <c r="DE20" s="22"/>
      <c r="DF20" s="10"/>
      <c r="DG20" s="10"/>
      <c r="DH20" s="10"/>
      <c r="DI20" s="10"/>
      <c r="DJ20" s="10"/>
      <c r="DK20" s="10"/>
      <c r="DL20" s="10"/>
      <c r="DM20" s="8"/>
      <c r="DN20" s="11"/>
      <c r="DO20" s="22"/>
      <c r="DP20" s="46"/>
      <c r="DQ20" s="11"/>
    </row>
    <row r="21" spans="1:121" ht="18.95" customHeight="1">
      <c r="A21" s="8"/>
      <c r="B21" s="9"/>
      <c r="C21" s="9"/>
      <c r="D21" s="9"/>
      <c r="E21" s="10"/>
      <c r="F21" s="10"/>
      <c r="G21" s="8"/>
      <c r="H21" s="11"/>
      <c r="I21" s="11"/>
      <c r="J21" s="11"/>
      <c r="K21" s="10"/>
      <c r="L21" s="11"/>
      <c r="M21" s="22"/>
      <c r="N21" s="11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11"/>
      <c r="AX21" s="8"/>
      <c r="AY21" s="33"/>
      <c r="AZ21" s="33"/>
      <c r="BA21" s="33"/>
      <c r="BB21" s="34"/>
      <c r="BC21" s="33"/>
      <c r="BD21" s="33"/>
      <c r="BE21" s="33"/>
      <c r="BF21" s="34"/>
      <c r="BG21" s="22"/>
      <c r="BH21" s="37"/>
      <c r="BI21" s="22"/>
      <c r="BJ21" s="8"/>
      <c r="BK21" s="37"/>
      <c r="BL21" s="37"/>
      <c r="BM21" s="42"/>
      <c r="BN21" s="22"/>
      <c r="BO21" s="33"/>
      <c r="BP21" s="33"/>
      <c r="BQ21" s="22"/>
      <c r="BR21" s="22"/>
      <c r="BS21" s="43"/>
      <c r="BT21" s="43"/>
      <c r="BU21" s="11"/>
      <c r="BV21" s="11"/>
      <c r="BW21" s="11"/>
      <c r="BX21" s="11"/>
      <c r="BY21" s="22"/>
      <c r="BZ21" s="22"/>
      <c r="CA21" s="22"/>
      <c r="CB21" s="22"/>
      <c r="CC21" s="8"/>
      <c r="CD21" s="22"/>
      <c r="CE21" s="9"/>
      <c r="CF21" s="9"/>
      <c r="CG21" s="22"/>
      <c r="CH21" s="22"/>
      <c r="CI21" s="22"/>
      <c r="CJ21" s="8"/>
      <c r="CK21" s="22"/>
      <c r="CL21" s="9"/>
      <c r="CM21" s="9"/>
      <c r="CN21" s="22"/>
      <c r="CO21" s="22"/>
      <c r="CP21" s="8"/>
      <c r="CQ21" s="22"/>
      <c r="CR21" s="22"/>
      <c r="CS21" s="22"/>
      <c r="CT21" s="22"/>
      <c r="CU21" s="22"/>
      <c r="CV21" s="9"/>
      <c r="CW21" s="22"/>
      <c r="CX21" s="9"/>
      <c r="CY21" s="10"/>
      <c r="CZ21" s="22"/>
      <c r="DA21" s="8"/>
      <c r="DB21" s="22"/>
      <c r="DC21" s="22"/>
      <c r="DD21" s="10"/>
      <c r="DE21" s="22"/>
      <c r="DF21" s="10"/>
      <c r="DG21" s="10"/>
      <c r="DH21" s="10"/>
      <c r="DI21" s="10"/>
      <c r="DJ21" s="10"/>
      <c r="DK21" s="10"/>
      <c r="DL21" s="10"/>
      <c r="DM21" s="8"/>
      <c r="DN21" s="11"/>
      <c r="DO21" s="22"/>
      <c r="DP21" s="46"/>
      <c r="DQ21" s="11"/>
    </row>
  </sheetData>
  <autoFilter ref="A8:DF8" xr:uid="{00000000-0009-0000-0000-000001000000}"/>
  <phoneticPr fontId="25"/>
  <conditionalFormatting sqref="A9:DQ21">
    <cfRule type="expression" dxfId="1" priority="1">
      <formula>$A9="削除"</formula>
    </cfRule>
    <cfRule type="expression" dxfId="0" priority="2">
      <formula>MOD(ROW(),2)=1</formula>
    </cfRule>
  </conditionalFormatting>
  <dataValidations count="6">
    <dataValidation type="list" allowBlank="1" showErrorMessage="1" sqref="A9:A14 A18:A21" xr:uid="{00000000-0002-0000-0100-000000000000}">
      <formula1>"新規,更新,削除"</formula1>
    </dataValidation>
    <dataValidation type="list" allowBlank="1" showErrorMessage="1" sqref="BG9:BG14 BG6 BG18:BG21" xr:uid="{00000000-0002-0000-0100-000005000000}">
      <formula1>"JPY,USD,THB,CNY,EUR"</formula1>
    </dataValidation>
    <dataValidation type="list" allowBlank="1" showErrorMessage="1" sqref="N18:N21 N9:N14 L9:L14 L18:L21 E18:F21 E9:F14 DG18:DL21 DG9:DL14 BW18:BX21 BW9:BX14" xr:uid="{00000000-0002-0000-0100-00000B000000}">
      <formula1>"1"</formula1>
    </dataValidation>
    <dataValidation type="list" allowBlank="1" showErrorMessage="1" sqref="CY9:CY14 CY18:CY21" xr:uid="{00000000-0002-0000-0100-000015000000}">
      <formula1>"売上,売上(発注不要),単価訂正,単価訂正(発注不要),値引,値引(発注不要),返品,返品(発注不要),なし"</formula1>
    </dataValidation>
    <dataValidation type="list" allowBlank="1" showErrorMessage="1" sqref="J9:J14 J18:J21" xr:uid="{00000000-0002-0000-0100-000042000000}">
      <formula1>"1,2,3,4,5,6"</formula1>
    </dataValidation>
    <dataValidation type="list" allowBlank="1" showErrorMessage="1" sqref="K9:K14 K18:K21" xr:uid="{00000000-0002-0000-0100-000047000000}">
      <formula1>"内装工事,家具工事,その他工事"</formula1>
    </dataValidation>
  </dataValidations>
  <pageMargins left="0.7" right="0.7" top="0.75" bottom="0.75" header="0" footer="0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リスト</vt:lpstr>
      <vt:lpstr>明細</vt:lpstr>
      <vt:lpstr>リスト!Print_Area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八木英則</dc:creator>
  <cp:keywords/>
  <dc:description/>
  <cp:lastModifiedBy>﨑岡夕月</cp:lastModifiedBy>
  <dcterms:created xsi:type="dcterms:W3CDTF">2024-01-11T08:24:00Z</dcterms:created>
  <dcterms:modified xsi:type="dcterms:W3CDTF">2026-05-18T01:52:36Z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b5a962-1a7a-4bf8-819d-07a170110954_Enabled">
    <vt:lpwstr>true</vt:lpwstr>
  </property>
  <property fmtid="{D5CDD505-2E9C-101B-9397-08002B2CF9AE}" pid="3" name="MSIP_Label_69b5a962-1a7a-4bf8-819d-07a170110954_SetDate">
    <vt:lpwstr>2023-01-13T03:26:11Z</vt:lpwstr>
  </property>
  <property fmtid="{D5CDD505-2E9C-101B-9397-08002B2CF9AE}" pid="4" name="MSIP_Label_69b5a962-1a7a-4bf8-819d-07a170110954_Method">
    <vt:lpwstr>Standard</vt:lpwstr>
  </property>
  <property fmtid="{D5CDD505-2E9C-101B-9397-08002B2CF9AE}" pid="5" name="MSIP_Label_69b5a962-1a7a-4bf8-819d-07a170110954_Name">
    <vt:lpwstr>InternalUse</vt:lpwstr>
  </property>
  <property fmtid="{D5CDD505-2E9C-101B-9397-08002B2CF9AE}" pid="6" name="MSIP_Label_69b5a962-1a7a-4bf8-819d-07a170110954_SiteId">
    <vt:lpwstr>0da2a83b-13d9-4a35-965f-ec53a220ed9d</vt:lpwstr>
  </property>
  <property fmtid="{D5CDD505-2E9C-101B-9397-08002B2CF9AE}" pid="7" name="MSIP_Label_69b5a962-1a7a-4bf8-819d-07a170110954_ActionId">
    <vt:lpwstr>af555a52-f227-40ad-983f-b7a9de10f339</vt:lpwstr>
  </property>
  <property fmtid="{D5CDD505-2E9C-101B-9397-08002B2CF9AE}" pid="8" name="MSIP_Label_69b5a962-1a7a-4bf8-819d-07a170110954_ContentBits">
    <vt:lpwstr>0</vt:lpwstr>
  </property>
  <property fmtid="{D5CDD505-2E9C-101B-9397-08002B2CF9AE}" pid="9" name="ICV">
    <vt:lpwstr/>
  </property>
  <property fmtid="{D5CDD505-2E9C-101B-9397-08002B2CF9AE}" pid="10" name="KSOProductBuildVer">
    <vt:lpwstr>1033-12.2.0.23196</vt:lpwstr>
  </property>
</Properties>
</file>